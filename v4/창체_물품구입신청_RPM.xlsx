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물품" sheetId="1" state="visible" r:id="rId1"/>
  </sheets>
  <definedNames>
    <definedName name="_xlnm.Print_Titles" localSheetId="0">'물품'!$2:$2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_-;\-* #,##0_-;_-* &quot;-&quot;_-;_-@_-"/>
  </numFmts>
  <fonts count="10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sz val="8"/>
    </font>
    <font>
      <name val="맑은 고딕"/>
      <charset val="129"/>
      <family val="3"/>
      <b val="1"/>
      <color theme="1"/>
      <sz val="14"/>
      <scheme val="minor"/>
    </font>
    <font>
      <name val="맑은 고딕"/>
      <charset val="129"/>
      <family val="3"/>
      <b val="1"/>
      <color theme="1"/>
      <sz val="11"/>
      <scheme val="minor"/>
    </font>
    <font>
      <name val="맑은 고딕"/>
      <charset val="129"/>
      <family val="3"/>
      <b val="1"/>
      <color theme="1"/>
      <sz val="12"/>
      <scheme val="minor"/>
    </font>
    <font>
      <name val="맑은 고딕"/>
      <charset val="129"/>
      <family val="3"/>
      <b val="1"/>
      <color indexed="8"/>
      <sz val="12"/>
      <scheme val="minor"/>
    </font>
    <font>
      <name val="맑은 고딕"/>
      <charset val="129"/>
      <family val="3"/>
      <color theme="1"/>
      <sz val="11"/>
      <scheme val="minor"/>
    </font>
    <font>
      <name val="맑은 고딕"/>
      <charset val="129"/>
      <family val="3"/>
      <b val="1"/>
      <color theme="1"/>
      <sz val="18"/>
      <scheme val="minor"/>
    </font>
  </fonts>
  <fills count="3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1" fillId="0" borderId="0" applyAlignment="1">
      <alignment vertical="center"/>
    </xf>
    <xf numFmtId="41" fontId="1" fillId="0" borderId="0" applyAlignment="1">
      <alignment vertical="center"/>
    </xf>
  </cellStyleXfs>
  <cellXfs count="21">
    <xf numFmtId="0" fontId="0" fillId="0" borderId="0" applyAlignment="1" pivotButton="0" quotePrefix="0" xfId="0">
      <alignment vertical="center"/>
    </xf>
    <xf numFmtId="164" fontId="4" fillId="2" borderId="1" applyAlignment="1" pivotButton="0" quotePrefix="0" xfId="1">
      <alignment horizontal="right" vertical="center"/>
    </xf>
    <xf numFmtId="164" fontId="6" fillId="2" borderId="1" applyAlignment="1" pivotButton="0" quotePrefix="0" xfId="1">
      <alignment horizontal="center" vertical="center"/>
    </xf>
    <xf numFmtId="0" fontId="7" fillId="2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164" fontId="8" fillId="0" borderId="1" applyAlignment="1" pivotButton="0" quotePrefix="0" xfId="1">
      <alignment horizontal="right" vertical="center"/>
    </xf>
    <xf numFmtId="0" fontId="8" fillId="2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0" fontId="5" fillId="0" borderId="0" applyAlignment="1" pivotButton="0" quotePrefix="0" xfId="0">
      <alignment vertical="center"/>
    </xf>
    <xf numFmtId="0" fontId="7" fillId="2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164" fontId="5" fillId="2" borderId="1" applyAlignment="1" pivotButton="0" quotePrefix="0" xfId="1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5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1">
      <alignment horizontal="right" vertical="center" wrapText="1"/>
    </xf>
    <xf numFmtId="164" fontId="6" fillId="2" borderId="1" applyAlignment="1" pivotButton="0" quotePrefix="0" xfId="1">
      <alignment horizontal="center" vertical="center"/>
    </xf>
    <xf numFmtId="164" fontId="5" fillId="2" borderId="1" applyAlignment="1" pivotButton="0" quotePrefix="0" xfId="1">
      <alignment horizontal="center" vertical="center"/>
    </xf>
    <xf numFmtId="164" fontId="4" fillId="2" borderId="1" applyAlignment="1" pivotButton="0" quotePrefix="0" xfId="1">
      <alignment horizontal="right" vertical="center"/>
    </xf>
  </cellXfs>
  <cellStyles count="2">
    <cellStyle name="표준" xfId="0" builtinId="0"/>
    <cellStyle name="쉼표 [0]" xfId="1" builtinId="6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https://www.devicemart.co.kr/goods/view?no=15336269" TargetMode="External" Id="rId1"/><Relationship Type="http://schemas.openxmlformats.org/officeDocument/2006/relationships/hyperlink" Target="https://www.devicemart.co.kr/goods/view?no=15336164" TargetMode="External" Id="rId2"/><Relationship Type="http://schemas.openxmlformats.org/officeDocument/2006/relationships/hyperlink" Target="https://www.devicemart.co.kr/goods/view?no=31671" TargetMode="External" Id="rId3"/><Relationship Type="http://schemas.openxmlformats.org/officeDocument/2006/relationships/hyperlink" Target="https://www.devicemart.co.kr/goods/view?no=16130996" TargetMode="External" Id="rId4"/><Relationship Type="http://schemas.openxmlformats.org/officeDocument/2006/relationships/hyperlink" Target="https://www.devicemart.co.kr/goods/view?no=12506669" TargetMode="External" Id="rId5"/><Relationship Type="http://schemas.openxmlformats.org/officeDocument/2006/relationships/hyperlink" Target="https://www.devicemart.co.kr/goods/view?no=10895020" TargetMode="External" Id="rId6"/><Relationship Type="http://schemas.openxmlformats.org/officeDocument/2006/relationships/hyperlink" Target="https://www.devicemart.co.kr/goods/view?no=1327543" TargetMode="External" Id="rId7"/><Relationship Type="http://schemas.openxmlformats.org/officeDocument/2006/relationships/hyperlink" Target="https://www.devicemart.co.kr/goods/view?no=3011" TargetMode="External" Id="rId8"/><Relationship Type="http://schemas.openxmlformats.org/officeDocument/2006/relationships/hyperlink" Target="https://www.devicemart.co.kr/goods/view?no=856" TargetMode="External" Id="rId9"/><Relationship Type="http://schemas.openxmlformats.org/officeDocument/2006/relationships/hyperlink" Target="https://smball.co.kr" TargetMode="External" Id="rId10"/><Relationship Type="http://schemas.openxmlformats.org/officeDocument/2006/relationships/hyperlink" Target="https://smball.co.kr/product/detail.html?product_no=50" TargetMode="External" Id="rId11"/><Relationship Type="http://schemas.openxmlformats.org/officeDocument/2006/relationships/hyperlink" Target="https://smball.co.kr/product/detail.html?product_no=50" TargetMode="External" Id="rId12"/><Relationship Type="http://schemas.openxmlformats.org/officeDocument/2006/relationships/hyperlink" Target="https://www.coupang.com/vp/products/8630678241" TargetMode="External" Id="rId13"/><Relationship Type="http://schemas.openxmlformats.org/officeDocument/2006/relationships/hyperlink" Target="https://www.coupang.com/vp/products/8230435105" TargetMode="External" Id="rId14"/><Relationship Type="http://schemas.openxmlformats.org/officeDocument/2006/relationships/hyperlink" Target="https://www.coupang.com/vp/products/9743421687" TargetMode="External" Id="rId15"/><Relationship Type="http://schemas.openxmlformats.org/officeDocument/2006/relationships/hyperlink" Target="https://www.coupang.com/vp/products/8532354386" TargetMode="External" Id="rId16"/><Relationship Type="http://schemas.openxmlformats.org/officeDocument/2006/relationships/hyperlink" Target="https://www.coupang.com/vp/products/8558801755" TargetMode="External" Id="rId17"/><Relationship Type="http://schemas.openxmlformats.org/officeDocument/2006/relationships/hyperlink" Target="https://www.coupang.com/vp/products/6305734042" TargetMode="External" Id="rId18"/><Relationship Type="http://schemas.openxmlformats.org/officeDocument/2006/relationships/hyperlink" Target="https://www.coupang.com/vp/products/4845669553" TargetMode="External" Id="rId19"/><Relationship Type="http://schemas.openxmlformats.org/officeDocument/2006/relationships/hyperlink" Target="https://www.coupang.com/vp/products/9638493021" TargetMode="External" Id="rId20"/><Relationship Type="http://schemas.openxmlformats.org/officeDocument/2006/relationships/hyperlink" Target="https://www.coupang.com/vp/products/9669133315" TargetMode="External" Id="rId21"/><Relationship Type="http://schemas.openxmlformats.org/officeDocument/2006/relationships/hyperlink" Target="https://www.coupang.com/vp/products/6455358137" TargetMode="External" Id="rId22"/><Relationship Type="http://schemas.openxmlformats.org/officeDocument/2006/relationships/hyperlink" Target="https://www.coupang.com/vp/products/6455358137" TargetMode="External" Id="rId23"/><Relationship Type="http://schemas.openxmlformats.org/officeDocument/2006/relationships/hyperlink" Target="https://www.coupang.com/vp/products/6455358137" TargetMode="External" Id="rId24"/><Relationship Type="http://schemas.openxmlformats.org/officeDocument/2006/relationships/hyperlink" Target="https://www.coupang.com/vp/products/6455358137" TargetMode="External" Id="rId25"/><Relationship Type="http://schemas.openxmlformats.org/officeDocument/2006/relationships/hyperlink" Target="https://www.coupang.com/vp/products/6455358137" TargetMode="External" Id="rId26"/><Relationship Type="http://schemas.openxmlformats.org/officeDocument/2006/relationships/hyperlink" Target="https://www.coupang.com/vp/products/6455358137" TargetMode="External" Id="rId27"/><Relationship Type="http://schemas.openxmlformats.org/officeDocument/2006/relationships/hyperlink" Target="https://www.coupang.com/vp/products/6455358137" TargetMode="External" Id="rId28"/><Relationship Type="http://schemas.openxmlformats.org/officeDocument/2006/relationships/hyperlink" Target="https://www.coupang.com/vp/products/7974822838" TargetMode="External" Id="rId29"/><Relationship Type="http://schemas.openxmlformats.org/officeDocument/2006/relationships/hyperlink" Target="https://www.coupang.com/vp/products/7440529428" TargetMode="External" Id="rId30"/><Relationship Type="http://schemas.openxmlformats.org/officeDocument/2006/relationships/hyperlink" Target="https://www.coupang.com/vp/products/6455358137" TargetMode="External" Id="rId31"/><Relationship Type="http://schemas.openxmlformats.org/officeDocument/2006/relationships/hyperlink" Target="https://www.coupang.com/vp/products/6455358137" TargetMode="External" Id="rId32"/><Relationship Type="http://schemas.openxmlformats.org/officeDocument/2006/relationships/hyperlink" Target="https://www.coupang.com/vp/products/6455358137" TargetMode="External" Id="rId33"/><Relationship Type="http://schemas.openxmlformats.org/officeDocument/2006/relationships/hyperlink" Target="https://www.coupang.com/vp/products/6455358137" TargetMode="External" Id="rId34"/><Relationship Type="http://schemas.openxmlformats.org/officeDocument/2006/relationships/hyperlink" Target="https://www.coupang.com/vp/products/6455358137" TargetMode="External" Id="rId35"/><Relationship Type="http://schemas.openxmlformats.org/officeDocument/2006/relationships/hyperlink" Target="https://www.coupang.com/vp/products/6455358137" TargetMode="External" Id="rId36"/><Relationship Type="http://schemas.openxmlformats.org/officeDocument/2006/relationships/hyperlink" Target="https://www.coupang.com/vp/products/6455358137" TargetMode="External" Id="rId37"/><Relationship Type="http://schemas.openxmlformats.org/officeDocument/2006/relationships/hyperlink" Target="https://www.coupang.com/vp/products/6455358137" TargetMode="External" Id="rId38"/><Relationship Type="http://schemas.openxmlformats.org/officeDocument/2006/relationships/hyperlink" Target="https://www.coupang.com/vp/products/6455358137" TargetMode="External" Id="rId39"/><Relationship Type="http://schemas.openxmlformats.org/officeDocument/2006/relationships/hyperlink" Target="https://www.coupang.com/vp/products/7687671245" TargetMode="External" Id="rId40"/><Relationship Type="http://schemas.openxmlformats.org/officeDocument/2006/relationships/hyperlink" Target="https://www.coupang.com/vp/products/6280971320" TargetMode="External" Id="rId41"/><Relationship Type="http://schemas.openxmlformats.org/officeDocument/2006/relationships/hyperlink" Target="https://www.coupang.com/vp/products/7760964029" TargetMode="External" Id="rId42"/><Relationship Type="http://schemas.openxmlformats.org/officeDocument/2006/relationships/hyperlink" Target="https://www.coupang.com/vp/products/2725054" TargetMode="External" Id="rId43"/><Relationship Type="http://schemas.openxmlformats.org/officeDocument/2006/relationships/hyperlink" Target="https://www.coupang.com/vp/products/8643897709" TargetMode="External" Id="rId44"/><Relationship Type="http://schemas.openxmlformats.org/officeDocument/2006/relationships/hyperlink" Target="https://www.coupang.com/vp/products/8305908512" TargetMode="External" Id="rId45"/><Relationship Type="http://schemas.openxmlformats.org/officeDocument/2006/relationships/hyperlink" Target="https://www.coupang.com/vp/products/71452005" TargetMode="External" Id="rId46"/><Relationship Type="http://schemas.openxmlformats.org/officeDocument/2006/relationships/hyperlink" Target="https://www.coupang.com/vp/products/9593337115" TargetMode="External" Id="rId47"/><Relationship Type="http://schemas.openxmlformats.org/officeDocument/2006/relationships/hyperlink" Target="https://www.coupang.com/vp/products/1119152790" TargetMode="External" Id="rId48"/><Relationship Type="http://schemas.openxmlformats.org/officeDocument/2006/relationships/hyperlink" Target="https://www.coupang.com/vp/products/8520223332" TargetMode="External" Id="rId49"/><Relationship Type="http://schemas.openxmlformats.org/officeDocument/2006/relationships/hyperlink" Target="https://www.coupang.com/vp/products/9167678186" TargetMode="External" Id="rId50"/><Relationship Type="http://schemas.openxmlformats.org/officeDocument/2006/relationships/hyperlink" Target="https://www.coupang.com/vp/products/9699042565" TargetMode="External" Id="rId51"/><Relationship Type="http://schemas.openxmlformats.org/officeDocument/2006/relationships/hyperlink" Target="https://www.coupang.com/vp/products/6667848502" TargetMode="External" Id="rId52"/><Relationship Type="http://schemas.openxmlformats.org/officeDocument/2006/relationships/hyperlink" Target="https://www.coupang.com/vp/products/9663070188" TargetMode="External" Id="rId53"/><Relationship Type="http://schemas.openxmlformats.org/officeDocument/2006/relationships/hyperlink" Target="https://www.coupang.com/vp/products/7225302003" TargetMode="External" Id="rId54"/><Relationship Type="http://schemas.openxmlformats.org/officeDocument/2006/relationships/hyperlink" Target="https://www.coupang.com/vp/products/8667960491" TargetMode="External" Id="rId55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61"/>
  <sheetViews>
    <sheetView tabSelected="1" workbookViewId="0">
      <selection activeCell="D10" sqref="D10"/>
    </sheetView>
  </sheetViews>
  <sheetFormatPr baseColWidth="8" defaultRowHeight="17.4"/>
  <cols>
    <col width="6.5" customWidth="1" style="10" min="1" max="1"/>
    <col width="19.3984375" customWidth="1" style="15" min="2" max="2"/>
    <col width="13.09765625" customWidth="1" style="15" min="3" max="3"/>
    <col width="39.69921875" customWidth="1" style="15" min="4" max="4"/>
    <col width="16.59765625" customWidth="1" style="15" min="5" max="5"/>
    <col width="9.5" customWidth="1" style="15" min="6" max="6"/>
    <col width="24.3984375" customWidth="1" style="15" min="7" max="7"/>
    <col width="93.59765625" customWidth="1" style="15" min="8" max="8"/>
  </cols>
  <sheetData>
    <row r="1" ht="55.5" customHeight="1" s="15">
      <c r="A1" s="14" t="inlineStr">
        <is>
          <t>2026학년도 창체 동아리 물품 구입 신청</t>
        </is>
      </c>
    </row>
    <row r="2" ht="42" customHeight="1" s="15">
      <c r="A2" s="7" t="inlineStr">
        <is>
          <t>no</t>
        </is>
      </c>
      <c r="B2" s="3" t="inlineStr">
        <is>
          <t>동아리명</t>
        </is>
      </c>
      <c r="C2" s="3" t="inlineStr">
        <is>
          <t>교사명</t>
        </is>
      </c>
      <c r="D2" s="3" t="inlineStr">
        <is>
          <t>물품명</t>
        </is>
      </c>
      <c r="E2" s="3" t="inlineStr">
        <is>
          <t>예상단가</t>
        </is>
      </c>
      <c r="F2" s="3" t="inlineStr">
        <is>
          <t>수량</t>
        </is>
      </c>
      <c r="G2" s="3" t="inlineStr">
        <is>
          <t>금액</t>
        </is>
      </c>
      <c r="H2" s="11" t="inlineStr">
        <is>
          <t>구입링크 
(s2b, 쿠팡, 11번가, g마켓)</t>
        </is>
      </c>
    </row>
    <row r="3" ht="24.9" customHeight="1" s="15">
      <c r="A3" s="16" t="n">
        <v>1</v>
      </c>
      <c r="B3" s="12" t="inlineStr">
        <is>
          <t>RPM</t>
        </is>
      </c>
      <c r="C3" s="12" t="inlineStr">
        <is>
          <t>홍경표, 장수빈</t>
        </is>
      </c>
      <c r="D3" s="12" t="inlineStr">
        <is>
          <t>압축 스프링 C252 (외경 18, 자유장 32, SUS304)</t>
        </is>
      </c>
      <c r="E3" s="17" t="n">
        <v>8360</v>
      </c>
      <c r="F3" s="12" t="n">
        <v>9</v>
      </c>
      <c r="G3" s="17">
        <f>F3*E3</f>
        <v/>
      </c>
      <c r="H3" s="12" t="inlineStr">
        <is>
          <t>https://www.devicemart.co.kr/goods/view?no=15336269</t>
        </is>
      </c>
    </row>
    <row r="4" ht="24.9" customHeight="1" s="15">
      <c r="A4" s="16" t="n">
        <v>2</v>
      </c>
      <c r="B4" s="12" t="inlineStr">
        <is>
          <t>RPM</t>
        </is>
      </c>
      <c r="C4" s="12" t="inlineStr">
        <is>
          <t>홍경표, 장수빈</t>
        </is>
      </c>
      <c r="D4" s="12" t="inlineStr">
        <is>
          <t>압축 스프링 C147 (외경 5, 길이 10)</t>
        </is>
      </c>
      <c r="E4" s="17" t="n">
        <v>990</v>
      </c>
      <c r="F4" s="12" t="n">
        <v>3</v>
      </c>
      <c r="G4" s="17">
        <f>F4*E4</f>
        <v/>
      </c>
      <c r="H4" s="12" t="inlineStr">
        <is>
          <t>https://www.devicemart.co.kr/goods/view?no=15336164</t>
        </is>
      </c>
    </row>
    <row r="5" ht="24.9" customHeight="1" s="15">
      <c r="A5" s="16" t="n">
        <v>3</v>
      </c>
      <c r="B5" s="12" t="inlineStr">
        <is>
          <t>RPM</t>
        </is>
      </c>
      <c r="C5" s="12" t="inlineStr">
        <is>
          <t>홍경표, 장수빈</t>
        </is>
      </c>
      <c r="D5" s="12" t="inlineStr">
        <is>
          <t>네오디뮴 자석 (Ø6×3mm)</t>
        </is>
      </c>
      <c r="E5" s="17" t="n">
        <v>220</v>
      </c>
      <c r="F5" s="12" t="n">
        <v>10</v>
      </c>
      <c r="G5" s="17">
        <f>F5*E5</f>
        <v/>
      </c>
      <c r="H5" s="12" t="inlineStr">
        <is>
          <t>https://www.devicemart.co.kr/goods/view?no=31671</t>
        </is>
      </c>
    </row>
    <row r="6" ht="24.9" customHeight="1" s="15">
      <c r="A6" s="16" t="n">
        <v>4</v>
      </c>
      <c r="B6" s="12" t="inlineStr">
        <is>
          <t>RPM</t>
        </is>
      </c>
      <c r="C6" s="12" t="inlineStr">
        <is>
          <t>홍경표, 장수빈</t>
        </is>
      </c>
      <c r="D6" s="12" t="inlineStr">
        <is>
          <t>가변저항 B10K (16mm, D축 Ø6 15mm, 부싱 M7 (P160KNP-1FD15B10K))</t>
        </is>
      </c>
      <c r="E6" s="17" t="n">
        <v>3993</v>
      </c>
      <c r="F6" s="12" t="n">
        <v>3</v>
      </c>
      <c r="G6" s="17">
        <f>F6*E6</f>
        <v/>
      </c>
      <c r="H6" s="12" t="inlineStr">
        <is>
          <t>https://www.devicemart.co.kr/goods/view?no=16130996</t>
        </is>
      </c>
    </row>
    <row r="7" ht="24.9" customHeight="1" s="15">
      <c r="A7" s="16" t="n">
        <v>5</v>
      </c>
      <c r="B7" s="12" t="inlineStr">
        <is>
          <t>RPM</t>
        </is>
      </c>
      <c r="C7" s="12" t="inlineStr">
        <is>
          <t>홍경표, 장수빈</t>
        </is>
      </c>
      <c r="D7" s="12" t="inlineStr">
        <is>
          <t>만능기판 (하프 사이즈 89×52 (브레드보드형, 양면))</t>
        </is>
      </c>
      <c r="E7" s="17" t="n">
        <v>2420</v>
      </c>
      <c r="F7" s="12" t="n">
        <v>1</v>
      </c>
      <c r="G7" s="17">
        <f>F7*E7</f>
        <v/>
      </c>
      <c r="H7" s="12" t="inlineStr">
        <is>
          <t>https://www.devicemart.co.kr/goods/view?no=12506669</t>
        </is>
      </c>
    </row>
    <row r="8" ht="24.9" customHeight="1" s="15">
      <c r="A8" s="16" t="n">
        <v>6</v>
      </c>
      <c r="B8" s="12" t="inlineStr">
        <is>
          <t>RPM</t>
        </is>
      </c>
      <c r="C8" s="12" t="inlineStr">
        <is>
          <t>홍경표, 장수빈</t>
        </is>
      </c>
      <c r="D8" s="12" t="inlineStr">
        <is>
          <t>비상정지 스위치 (버섯형, b접점(NC))</t>
        </is>
      </c>
      <c r="E8" s="17" t="n">
        <v>7370</v>
      </c>
      <c r="F8" s="12" t="n">
        <v>1</v>
      </c>
      <c r="G8" s="17">
        <f>F8*E8</f>
        <v/>
      </c>
      <c r="H8" s="12" t="inlineStr">
        <is>
          <t>https://www.devicemart.co.kr/goods/view?no=10895020</t>
        </is>
      </c>
    </row>
    <row r="9" ht="24.9" customHeight="1" s="15">
      <c r="A9" s="16" t="n">
        <v>7</v>
      </c>
      <c r="B9" s="12" t="inlineStr">
        <is>
          <t>RPM</t>
        </is>
      </c>
      <c r="C9" s="12" t="inlineStr">
        <is>
          <t>홍경표, 장수빈</t>
        </is>
      </c>
      <c r="D9" s="12" t="inlineStr">
        <is>
          <t>5V 릴레이 모듈 (1채널, 로우 트리거)</t>
        </is>
      </c>
      <c r="E9" s="17" t="n">
        <v>990</v>
      </c>
      <c r="F9" s="12" t="n">
        <v>1</v>
      </c>
      <c r="G9" s="17">
        <f>F9*E9</f>
        <v/>
      </c>
      <c r="H9" s="12" t="inlineStr">
        <is>
          <t>https://www.devicemart.co.kr/goods/view?no=1327543</t>
        </is>
      </c>
    </row>
    <row r="10" ht="24.9" customHeight="1" s="15">
      <c r="A10" s="16" t="n">
        <v>8</v>
      </c>
      <c r="B10" s="12" t="inlineStr">
        <is>
          <t>RPM</t>
        </is>
      </c>
      <c r="C10" s="12" t="inlineStr">
        <is>
          <t>홍경표, 장수빈</t>
        </is>
      </c>
      <c r="D10" s="12" t="inlineStr">
        <is>
          <t>다이오드 1N4007</t>
        </is>
      </c>
      <c r="E10" s="17" t="n">
        <v>22</v>
      </c>
      <c r="F10" s="12" t="n">
        <v>10</v>
      </c>
      <c r="G10" s="17">
        <f>F10*E10</f>
        <v/>
      </c>
      <c r="H10" s="12" t="inlineStr">
        <is>
          <t>https://www.devicemart.co.kr/goods/view?no=3011</t>
        </is>
      </c>
    </row>
    <row r="11" ht="24.9" customHeight="1" s="15">
      <c r="A11" s="16" t="n">
        <v>9</v>
      </c>
      <c r="B11" s="12" t="inlineStr">
        <is>
          <t>RPM</t>
        </is>
      </c>
      <c r="C11" s="12" t="inlineStr">
        <is>
          <t>홍경표, 장수빈</t>
        </is>
      </c>
      <c r="D11" s="12" t="inlineStr">
        <is>
          <t>저항 (10kΩ 30개 + 4.7kΩ 30개 (1/4W, 최소 수량))</t>
        </is>
      </c>
      <c r="E11" s="17" t="n">
        <v>1518</v>
      </c>
      <c r="F11" s="12" t="n">
        <v>1</v>
      </c>
      <c r="G11" s="17">
        <f>F11*E11</f>
        <v/>
      </c>
      <c r="H11" s="12" t="inlineStr">
        <is>
          <t>https://www.devicemart.co.kr/goods/view?no=856</t>
        </is>
      </c>
    </row>
    <row r="12" ht="24.9" customHeight="1" s="15">
      <c r="A12" s="16" t="n">
        <v>10</v>
      </c>
      <c r="B12" s="12" t="inlineStr">
        <is>
          <t>RPM</t>
        </is>
      </c>
      <c r="C12" s="12" t="inlineStr">
        <is>
          <t>홍경표, 장수빈</t>
        </is>
      </c>
      <c r="D12" s="12" t="inlineStr">
        <is>
          <t>연마봉(강철 축) (Ø12 1m (435·358·160 으로 절단))</t>
        </is>
      </c>
      <c r="E12" s="17" t="n">
        <v>16000</v>
      </c>
      <c r="F12" s="12" t="n">
        <v>1</v>
      </c>
      <c r="G12" s="17">
        <f>F12*E12</f>
        <v/>
      </c>
      <c r="H12" s="12" t="inlineStr">
        <is>
          <t>https://smball.co.kr</t>
        </is>
      </c>
    </row>
    <row r="13" ht="24.9" customHeight="1" s="15">
      <c r="A13" s="16" t="n">
        <v>11</v>
      </c>
      <c r="B13" s="12" t="inlineStr">
        <is>
          <t>RPM</t>
        </is>
      </c>
      <c r="C13" s="12" t="inlineStr">
        <is>
          <t>홍경표, 장수빈</t>
        </is>
      </c>
      <c r="D13" s="12" t="inlineStr">
        <is>
          <t>연마봉(강철 축) 짧은 것 (Ø12, 55mm 이상 (55로 절단))</t>
        </is>
      </c>
      <c r="E13" s="17" t="n">
        <v>1600</v>
      </c>
      <c r="F13" s="12" t="n">
        <v>1</v>
      </c>
      <c r="G13" s="17">
        <f>F13*E13</f>
        <v/>
      </c>
      <c r="H13" s="12" t="inlineStr">
        <is>
          <t>https://smball.co.kr/product/detail.html?product_no=50</t>
        </is>
      </c>
    </row>
    <row r="14" ht="24.9" customHeight="1" s="15">
      <c r="A14" s="16" t="n">
        <v>12</v>
      </c>
      <c r="B14" s="12" t="inlineStr">
        <is>
          <t>RPM</t>
        </is>
      </c>
      <c r="C14" s="12" t="inlineStr">
        <is>
          <t>홍경표, 장수빈</t>
        </is>
      </c>
      <c r="D14" s="12" t="inlineStr">
        <is>
          <t>연마봉(변속 레일) (Ø6, 371mm)</t>
        </is>
      </c>
      <c r="E14" s="17" t="n">
        <v>5200</v>
      </c>
      <c r="F14" s="12" t="n">
        <v>3</v>
      </c>
      <c r="G14" s="17">
        <f>F14*E14</f>
        <v/>
      </c>
      <c r="H14" s="12" t="inlineStr">
        <is>
          <t>https://smball.co.kr/product/detail.html?product_no=50</t>
        </is>
      </c>
    </row>
    <row r="15" ht="24.9" customHeight="1" s="15">
      <c r="A15" s="16" t="n">
        <v>13</v>
      </c>
      <c r="B15" s="12" t="inlineStr">
        <is>
          <t>RPM</t>
        </is>
      </c>
      <c r="C15" s="12" t="inlineStr">
        <is>
          <t>홍경표, 장수빈</t>
        </is>
      </c>
      <c r="D15" s="12" t="inlineStr">
        <is>
          <t>6001ZZ 볼 베어링 (10개 묶음) (12×28×8) - 묶음</t>
        </is>
      </c>
      <c r="E15" s="17" t="n">
        <v>6000</v>
      </c>
      <c r="F15" s="12" t="n">
        <v>2</v>
      </c>
      <c r="G15" s="17">
        <f>F15*E15</f>
        <v/>
      </c>
      <c r="H15" s="12" t="inlineStr">
        <is>
          <t>https://www.coupang.com/vp/products/8630678241</t>
        </is>
      </c>
    </row>
    <row r="16" ht="24.9" customHeight="1" s="15">
      <c r="A16" s="16" t="n">
        <v>14</v>
      </c>
      <c r="B16" s="12" t="inlineStr">
        <is>
          <t>RPM</t>
        </is>
      </c>
      <c r="C16" s="12" t="inlineStr">
        <is>
          <t>홍경표, 장수빈</t>
        </is>
      </c>
      <c r="D16" s="12" t="inlineStr">
        <is>
          <t>6003ZZ 볼 베어링 (17×35×10)</t>
        </is>
      </c>
      <c r="E16" s="17" t="n">
        <v>1100</v>
      </c>
      <c r="F16" s="12" t="n">
        <v>1</v>
      </c>
      <c r="G16" s="17">
        <f>F16*E16</f>
        <v/>
      </c>
      <c r="H16" s="12" t="inlineStr">
        <is>
          <t>https://www.coupang.com/vp/products/8230435105</t>
        </is>
      </c>
    </row>
    <row r="17" ht="24.9" customHeight="1" s="15">
      <c r="A17" s="16" t="n">
        <v>15</v>
      </c>
      <c r="B17" s="12" t="inlineStr">
        <is>
          <t>RPM</t>
        </is>
      </c>
      <c r="C17" s="12" t="inlineStr">
        <is>
          <t>홍경표, 장수빈</t>
        </is>
      </c>
      <c r="D17" s="12" t="inlineStr">
        <is>
          <t>강철 평행핀 (Ø5×25) - 봉(100개)</t>
        </is>
      </c>
      <c r="E17" s="17" t="n">
        <v>27000</v>
      </c>
      <c r="F17" s="12" t="n">
        <v>1</v>
      </c>
      <c r="G17" s="17">
        <f>F17*E17</f>
        <v/>
      </c>
      <c r="H17" s="12" t="inlineStr">
        <is>
          <t>https://www.coupang.com/vp/products/9743421687</t>
        </is>
      </c>
    </row>
    <row r="18" ht="24.9" customHeight="1" s="15">
      <c r="A18" s="16" t="n">
        <v>16</v>
      </c>
      <c r="B18" s="12" t="inlineStr">
        <is>
          <t>RPM</t>
        </is>
      </c>
      <c r="C18" s="12" t="inlineStr">
        <is>
          <t>홍경표, 장수빈</t>
        </is>
      </c>
      <c r="D18" s="12" t="inlineStr">
        <is>
          <t>강철 평행핀 (Ø5×40)</t>
        </is>
      </c>
      <c r="E18" s="17" t="n">
        <v>440</v>
      </c>
      <c r="F18" s="12" t="n">
        <v>6</v>
      </c>
      <c r="G18" s="17">
        <f>F18*E18</f>
        <v/>
      </c>
      <c r="H18" s="12" t="inlineStr">
        <is>
          <t>https://www.coupang.com/vp/products/8532354386</t>
        </is>
      </c>
    </row>
    <row r="19" ht="24.9" customHeight="1" s="15">
      <c r="A19" s="16" t="n">
        <v>17</v>
      </c>
      <c r="B19" s="12" t="inlineStr">
        <is>
          <t>RPM</t>
        </is>
      </c>
      <c r="C19" s="12" t="inlineStr">
        <is>
          <t>홍경표, 장수빈</t>
        </is>
      </c>
      <c r="D19" s="12" t="inlineStr">
        <is>
          <t>NBR 고무 호스 (안지름 5 × 바깥지름 10) - 개(약2m)</t>
        </is>
      </c>
      <c r="E19" s="17" t="n">
        <v>8900</v>
      </c>
      <c r="F19" s="12" t="n">
        <v>1</v>
      </c>
      <c r="G19" s="17">
        <f>F19*E19</f>
        <v/>
      </c>
      <c r="H19" s="12" t="inlineStr">
        <is>
          <t>https://www.coupang.com/vp/products/8558801755</t>
        </is>
      </c>
    </row>
    <row r="20" ht="24.9" customHeight="1" s="15">
      <c r="A20" s="16" t="n">
        <v>18</v>
      </c>
      <c r="B20" s="12" t="inlineStr">
        <is>
          <t>RPM</t>
        </is>
      </c>
      <c r="C20" s="12" t="inlineStr">
        <is>
          <t>홍경표, 장수빈</t>
        </is>
      </c>
      <c r="D20" s="12" t="inlineStr">
        <is>
          <t>큰 와셔 DIN9021 M16 (강철) (안지름 17 × 바깥지름 50 × 두께 3)</t>
        </is>
      </c>
      <c r="E20" s="17" t="n">
        <v>710</v>
      </c>
      <c r="F20" s="12" t="n">
        <v>2</v>
      </c>
      <c r="G20" s="17">
        <f>F20*E20</f>
        <v/>
      </c>
      <c r="H20" s="12" t="inlineStr">
        <is>
          <t>https://www.coupang.com/vp/products/6305734042</t>
        </is>
      </c>
    </row>
    <row r="21" ht="24.9" customHeight="1" s="15">
      <c r="A21" s="16" t="n">
        <v>19</v>
      </c>
      <c r="B21" s="12" t="inlineStr">
        <is>
          <t>RPM</t>
        </is>
      </c>
      <c r="C21" s="12" t="inlineStr">
        <is>
          <t>홍경표, 장수빈</t>
        </is>
      </c>
      <c r="D21" s="12" t="inlineStr">
        <is>
          <t>코르크 시트 (두께 2mm, A4)</t>
        </is>
      </c>
      <c r="E21" s="17" t="n">
        <v>1890</v>
      </c>
      <c r="F21" s="12" t="n">
        <v>1</v>
      </c>
      <c r="G21" s="17">
        <f>F21*E21</f>
        <v/>
      </c>
      <c r="H21" s="12" t="inlineStr">
        <is>
          <t>https://www.coupang.com/vp/products/4845669553</t>
        </is>
      </c>
    </row>
    <row r="22" ht="24.9" customHeight="1" s="15">
      <c r="A22" s="16" t="n">
        <v>20</v>
      </c>
      <c r="B22" s="12" t="inlineStr">
        <is>
          <t>RPM</t>
        </is>
      </c>
      <c r="C22" s="12" t="inlineStr">
        <is>
          <t>홍경표, 장수빈</t>
        </is>
      </c>
      <c r="D22" s="12" t="inlineStr">
        <is>
          <t>강구 (Ø6mm 50개) - 봉</t>
        </is>
      </c>
      <c r="E22" s="17" t="n">
        <v>3500</v>
      </c>
      <c r="F22" s="12" t="n">
        <v>1</v>
      </c>
      <c r="G22" s="17">
        <f>F22*E22</f>
        <v/>
      </c>
      <c r="H22" s="12" t="inlineStr">
        <is>
          <t>https://www.coupang.com/vp/products/9638493021</t>
        </is>
      </c>
    </row>
    <row r="23" ht="24.9" customHeight="1" s="15">
      <c r="A23" s="16" t="n">
        <v>21</v>
      </c>
      <c r="B23" s="12" t="inlineStr">
        <is>
          <t>RPM</t>
        </is>
      </c>
      <c r="C23" s="12" t="inlineStr">
        <is>
          <t>홍경표, 장수빈</t>
        </is>
      </c>
      <c r="D23" s="12" t="inlineStr">
        <is>
          <t>샤프트 칼라 (Ø6 축용) (안지름 6.1, 바깥지름 11, 폭 6, 멈춤나사형 (RC 휠 칼라, 10개)) - 봉(10개)</t>
        </is>
      </c>
      <c r="E23" s="17" t="n">
        <v>14800</v>
      </c>
      <c r="F23" s="12" t="n">
        <v>1</v>
      </c>
      <c r="G23" s="17">
        <f>F23*E23</f>
        <v/>
      </c>
      <c r="H23" s="12" t="inlineStr">
        <is>
          <t>https://www.coupang.com/vp/products/9669133315</t>
        </is>
      </c>
    </row>
    <row r="24" ht="24.9" customHeight="1" s="15">
      <c r="A24" s="16" t="n">
        <v>22</v>
      </c>
      <c r="B24" s="12" t="inlineStr">
        <is>
          <t>RPM</t>
        </is>
      </c>
      <c r="C24" s="12" t="inlineStr">
        <is>
          <t>홍경표, 장수빈</t>
        </is>
      </c>
      <c r="D24" s="12" t="inlineStr">
        <is>
          <t>M3 렌치볼트 (M3×8 (육각 홈붙이, 스텐))</t>
        </is>
      </c>
      <c r="E24" s="17" t="n">
        <v>50</v>
      </c>
      <c r="F24" s="12" t="n">
        <v>9</v>
      </c>
      <c r="G24" s="17">
        <f>F24*E24</f>
        <v/>
      </c>
      <c r="H24" s="12" t="inlineStr">
        <is>
          <t>https://www.coupang.com/vp/products/6455358137</t>
        </is>
      </c>
    </row>
    <row r="25" ht="24.9" customHeight="1" s="15">
      <c r="A25" s="16" t="n">
        <v>23</v>
      </c>
      <c r="B25" s="12" t="inlineStr">
        <is>
          <t>RPM</t>
        </is>
      </c>
      <c r="C25" s="12" t="inlineStr">
        <is>
          <t>홍경표, 장수빈</t>
        </is>
      </c>
      <c r="D25" s="12" t="inlineStr">
        <is>
          <t>M3 렌치볼트 (M3×10)</t>
        </is>
      </c>
      <c r="E25" s="17" t="n">
        <v>60</v>
      </c>
      <c r="F25" s="12" t="n">
        <v>1</v>
      </c>
      <c r="G25" s="17">
        <f>F25*E25</f>
        <v/>
      </c>
      <c r="H25" s="12" t="inlineStr">
        <is>
          <t>https://www.coupang.com/vp/products/6455358137</t>
        </is>
      </c>
    </row>
    <row r="26" ht="24.9" customHeight="1" s="15">
      <c r="A26" s="16" t="n">
        <v>24</v>
      </c>
      <c r="B26" s="12" t="inlineStr">
        <is>
          <t>RPM</t>
        </is>
      </c>
      <c r="C26" s="12" t="inlineStr">
        <is>
          <t>홍경표, 장수빈</t>
        </is>
      </c>
      <c r="D26" s="12" t="inlineStr">
        <is>
          <t>M3 렌치볼트 (M3×12)</t>
        </is>
      </c>
      <c r="E26" s="17" t="n">
        <v>60</v>
      </c>
      <c r="F26" s="12" t="n">
        <v>34</v>
      </c>
      <c r="G26" s="17">
        <f>F26*E26</f>
        <v/>
      </c>
      <c r="H26" s="12" t="inlineStr">
        <is>
          <t>https://www.coupang.com/vp/products/6455358137</t>
        </is>
      </c>
    </row>
    <row r="27" ht="24.9" customHeight="1" s="15">
      <c r="A27" s="16" t="n">
        <v>25</v>
      </c>
      <c r="B27" s="12" t="inlineStr">
        <is>
          <t>RPM</t>
        </is>
      </c>
      <c r="C27" s="12" t="inlineStr">
        <is>
          <t>홍경표, 장수빈</t>
        </is>
      </c>
      <c r="D27" s="12" t="inlineStr">
        <is>
          <t>M3 렌치볼트 (M3×16)</t>
        </is>
      </c>
      <c r="E27" s="17" t="n">
        <v>100</v>
      </c>
      <c r="F27" s="12" t="n">
        <v>2</v>
      </c>
      <c r="G27" s="17">
        <f>F27*E27</f>
        <v/>
      </c>
      <c r="H27" s="12" t="inlineStr">
        <is>
          <t>https://www.coupang.com/vp/products/6455358137</t>
        </is>
      </c>
    </row>
    <row r="28" ht="24.9" customHeight="1" s="15">
      <c r="A28" s="16" t="n">
        <v>26</v>
      </c>
      <c r="B28" s="12" t="inlineStr">
        <is>
          <t>RPM</t>
        </is>
      </c>
      <c r="C28" s="12" t="inlineStr">
        <is>
          <t>홍경표, 장수빈</t>
        </is>
      </c>
      <c r="D28" s="12" t="inlineStr">
        <is>
          <t>M3 렌치볼트 + 너트 (M3×20)</t>
        </is>
      </c>
      <c r="E28" s="17" t="n">
        <v>130</v>
      </c>
      <c r="F28" s="12" t="n">
        <v>9</v>
      </c>
      <c r="G28" s="17">
        <f>F28*E28</f>
        <v/>
      </c>
      <c r="H28" s="12" t="inlineStr">
        <is>
          <t>https://www.coupang.com/vp/products/6455358137</t>
        </is>
      </c>
    </row>
    <row r="29" ht="24.9" customHeight="1" s="15">
      <c r="A29" s="16" t="n">
        <v>27</v>
      </c>
      <c r="B29" s="12" t="inlineStr">
        <is>
          <t>RPM</t>
        </is>
      </c>
      <c r="C29" s="12" t="inlineStr">
        <is>
          <t>홍경표, 장수빈</t>
        </is>
      </c>
      <c r="D29" s="12" t="inlineStr">
        <is>
          <t>M3 렌치볼트 (M3×25)</t>
        </is>
      </c>
      <c r="E29" s="17" t="n">
        <v>70</v>
      </c>
      <c r="F29" s="12" t="n">
        <v>6</v>
      </c>
      <c r="G29" s="17">
        <f>F29*E29</f>
        <v/>
      </c>
      <c r="H29" s="12" t="inlineStr">
        <is>
          <t>https://www.coupang.com/vp/products/6455358137</t>
        </is>
      </c>
    </row>
    <row r="30" ht="24.9" customHeight="1" s="15">
      <c r="A30" s="16" t="n">
        <v>28</v>
      </c>
      <c r="B30" s="12" t="inlineStr">
        <is>
          <t>RPM</t>
        </is>
      </c>
      <c r="C30" s="12" t="inlineStr">
        <is>
          <t>홍경표, 장수빈</t>
        </is>
      </c>
      <c r="D30" s="12" t="inlineStr">
        <is>
          <t>M3 렌치볼트 (M3×50)</t>
        </is>
      </c>
      <c r="E30" s="17" t="n">
        <v>170</v>
      </c>
      <c r="F30" s="12" t="n">
        <v>4</v>
      </c>
      <c r="G30" s="17">
        <f>F30*E30</f>
        <v/>
      </c>
      <c r="H30" s="12" t="inlineStr">
        <is>
          <t>https://www.coupang.com/vp/products/6455358137</t>
        </is>
      </c>
    </row>
    <row r="31" ht="24.9" customHeight="1" s="15">
      <c r="A31" s="16" t="n">
        <v>29</v>
      </c>
      <c r="B31" s="12" t="inlineStr">
        <is>
          <t>RPM</t>
        </is>
      </c>
      <c r="C31" s="12" t="inlineStr">
        <is>
          <t>홍경표, 장수빈</t>
        </is>
      </c>
      <c r="D31" s="12" t="inlineStr">
        <is>
          <t>M3 무두볼트 (M3×8)</t>
        </is>
      </c>
      <c r="E31" s="17" t="n">
        <v>60</v>
      </c>
      <c r="F31" s="12" t="n">
        <v>1</v>
      </c>
      <c r="G31" s="17">
        <f>F31*E31</f>
        <v/>
      </c>
      <c r="H31" s="12" t="inlineStr">
        <is>
          <t>https://www.coupang.com/vp/products/7974822838</t>
        </is>
      </c>
    </row>
    <row r="32" ht="24.9" customHeight="1" s="15">
      <c r="A32" s="16" t="n">
        <v>30</v>
      </c>
      <c r="B32" s="12" t="inlineStr">
        <is>
          <t>RPM</t>
        </is>
      </c>
      <c r="C32" s="12" t="inlineStr">
        <is>
          <t>홍경표, 장수빈</t>
        </is>
      </c>
      <c r="D32" s="12" t="inlineStr">
        <is>
          <t>M3 평와셔 (M3 (바깥지름 8, 두께 0.5))</t>
        </is>
      </c>
      <c r="E32" s="17" t="n">
        <v>20</v>
      </c>
      <c r="F32" s="12" t="n">
        <v>15</v>
      </c>
      <c r="G32" s="17">
        <f>F32*E32</f>
        <v/>
      </c>
      <c r="H32" s="12" t="inlineStr">
        <is>
          <t>https://www.coupang.com/vp/products/7440529428</t>
        </is>
      </c>
    </row>
    <row r="33" ht="24.9" customHeight="1" s="15">
      <c r="A33" s="16" t="n">
        <v>31</v>
      </c>
      <c r="B33" s="12" t="inlineStr">
        <is>
          <t>RPM</t>
        </is>
      </c>
      <c r="C33" s="12" t="inlineStr">
        <is>
          <t>홍경표, 장수빈</t>
        </is>
      </c>
      <c r="D33" s="12" t="inlineStr">
        <is>
          <t>M4 렌치볼트 + 너트 (M4×16)</t>
        </is>
      </c>
      <c r="E33" s="17" t="n">
        <v>170</v>
      </c>
      <c r="F33" s="12" t="n">
        <v>4</v>
      </c>
      <c r="G33" s="17">
        <f>F33*E33</f>
        <v/>
      </c>
      <c r="H33" s="12" t="inlineStr">
        <is>
          <t>https://www.coupang.com/vp/products/6455358137</t>
        </is>
      </c>
    </row>
    <row r="34" ht="24.9" customHeight="1" s="15">
      <c r="A34" s="16" t="n">
        <v>32</v>
      </c>
      <c r="B34" s="12" t="inlineStr">
        <is>
          <t>RPM</t>
        </is>
      </c>
      <c r="C34" s="12" t="inlineStr">
        <is>
          <t>홍경표, 장수빈</t>
        </is>
      </c>
      <c r="D34" s="12" t="inlineStr">
        <is>
          <t>M4 렌치볼트 + 너트 (M4×25)</t>
        </is>
      </c>
      <c r="E34" s="17" t="n">
        <v>160</v>
      </c>
      <c r="F34" s="12" t="n">
        <v>4</v>
      </c>
      <c r="G34" s="17">
        <f>F34*E34</f>
        <v/>
      </c>
      <c r="H34" s="12" t="inlineStr">
        <is>
          <t>https://www.coupang.com/vp/products/6455358137</t>
        </is>
      </c>
    </row>
    <row r="35" ht="24.9" customHeight="1" s="15">
      <c r="A35" s="16" t="n">
        <v>33</v>
      </c>
      <c r="B35" s="12" t="inlineStr">
        <is>
          <t>RPM</t>
        </is>
      </c>
      <c r="C35" s="12" t="inlineStr">
        <is>
          <t>홍경표, 장수빈</t>
        </is>
      </c>
      <c r="D35" s="12" t="inlineStr">
        <is>
          <t>M4 렌치볼트 + 너트 (M4×30)</t>
        </is>
      </c>
      <c r="E35" s="17" t="n">
        <v>190</v>
      </c>
      <c r="F35" s="12" t="n">
        <v>20</v>
      </c>
      <c r="G35" s="17">
        <f>F35*E35</f>
        <v/>
      </c>
      <c r="H35" s="12" t="inlineStr">
        <is>
          <t>https://www.coupang.com/vp/products/6455358137</t>
        </is>
      </c>
    </row>
    <row r="36" ht="24.9" customHeight="1" s="15">
      <c r="A36" s="16" t="n">
        <v>34</v>
      </c>
      <c r="B36" s="12" t="inlineStr">
        <is>
          <t>RPM</t>
        </is>
      </c>
      <c r="C36" s="12" t="inlineStr">
        <is>
          <t>홍경표, 장수빈</t>
        </is>
      </c>
      <c r="D36" s="12" t="inlineStr">
        <is>
          <t>M4 렌치볼트 + 너트 (M4×60)</t>
        </is>
      </c>
      <c r="E36" s="17" t="n">
        <v>350</v>
      </c>
      <c r="F36" s="12" t="n">
        <v>3</v>
      </c>
      <c r="G36" s="17">
        <f>F36*E36</f>
        <v/>
      </c>
      <c r="H36" s="12" t="inlineStr">
        <is>
          <t>https://www.coupang.com/vp/products/6455358137</t>
        </is>
      </c>
    </row>
    <row r="37" ht="24.9" customHeight="1" s="15">
      <c r="A37" s="16" t="n">
        <v>35</v>
      </c>
      <c r="B37" s="12" t="inlineStr">
        <is>
          <t>RPM</t>
        </is>
      </c>
      <c r="C37" s="12" t="inlineStr">
        <is>
          <t>홍경표, 장수빈</t>
        </is>
      </c>
      <c r="D37" s="12" t="inlineStr">
        <is>
          <t>M5 렌치볼트 + 너트 (M5×10)</t>
        </is>
      </c>
      <c r="E37" s="17" t="n">
        <v>200</v>
      </c>
      <c r="F37" s="12" t="n">
        <v>3</v>
      </c>
      <c r="G37" s="17">
        <f>F37*E37</f>
        <v/>
      </c>
      <c r="H37" s="12" t="inlineStr">
        <is>
          <t>https://www.coupang.com/vp/products/6455358137</t>
        </is>
      </c>
    </row>
    <row r="38" ht="24.9" customHeight="1" s="15">
      <c r="A38" s="16" t="n">
        <v>36</v>
      </c>
      <c r="B38" s="12" t="inlineStr">
        <is>
          <t>RPM</t>
        </is>
      </c>
      <c r="C38" s="12" t="inlineStr">
        <is>
          <t>홍경표, 장수빈</t>
        </is>
      </c>
      <c r="D38" s="12" t="inlineStr">
        <is>
          <t>M5 렌치볼트 + 너트 (M5×20)</t>
        </is>
      </c>
      <c r="E38" s="17" t="n">
        <v>230</v>
      </c>
      <c r="F38" s="12" t="n">
        <v>3</v>
      </c>
      <c r="G38" s="17">
        <f>F38*E38</f>
        <v/>
      </c>
      <c r="H38" s="12" t="inlineStr">
        <is>
          <t>https://www.coupang.com/vp/products/6455358137</t>
        </is>
      </c>
    </row>
    <row r="39" ht="24.9" customHeight="1" s="15">
      <c r="A39" s="16" t="n">
        <v>37</v>
      </c>
      <c r="B39" s="12" t="inlineStr">
        <is>
          <t>RPM</t>
        </is>
      </c>
      <c r="C39" s="12" t="inlineStr">
        <is>
          <t>홍경표, 장수빈</t>
        </is>
      </c>
      <c r="D39" s="12" t="inlineStr">
        <is>
          <t>M5 렌치볼트 + 평와셔 (M5×8 3개 + M5×12 3개 + M5 와셔 3개)</t>
        </is>
      </c>
      <c r="E39" s="17" t="n">
        <v>720</v>
      </c>
      <c r="F39" s="12" t="n">
        <v>1</v>
      </c>
      <c r="G39" s="17">
        <f>F39*E39</f>
        <v/>
      </c>
      <c r="H39" s="12" t="inlineStr">
        <is>
          <t>https://www.coupang.com/vp/products/6455358137</t>
        </is>
      </c>
    </row>
    <row r="40" ht="24.9" customHeight="1" s="15">
      <c r="A40" s="16" t="n">
        <v>38</v>
      </c>
      <c r="B40" s="12" t="inlineStr">
        <is>
          <t>RPM</t>
        </is>
      </c>
      <c r="C40" s="12" t="inlineStr">
        <is>
          <t>홍경표, 장수빈</t>
        </is>
      </c>
      <c r="D40" s="12" t="inlineStr">
        <is>
          <t>M5 렌치볼트 + 나일론 너트 (M5×70)</t>
        </is>
      </c>
      <c r="E40" s="17" t="n">
        <v>550</v>
      </c>
      <c r="F40" s="12" t="n">
        <v>1</v>
      </c>
      <c r="G40" s="17">
        <f>F40*E40</f>
        <v/>
      </c>
      <c r="H40" s="12" t="inlineStr">
        <is>
          <t>https://www.coupang.com/vp/products/6455358137</t>
        </is>
      </c>
    </row>
    <row r="41" ht="24.9" customHeight="1" s="15">
      <c r="A41" s="16" t="n">
        <v>39</v>
      </c>
      <c r="B41" s="12" t="inlineStr">
        <is>
          <t>RPM</t>
        </is>
      </c>
      <c r="C41" s="12" t="inlineStr">
        <is>
          <t>홍경표, 장수빈</t>
        </is>
      </c>
      <c r="D41" s="12" t="inlineStr">
        <is>
          <t>M6 렌치볼트 (M6×25)</t>
        </is>
      </c>
      <c r="E41" s="17" t="n">
        <v>210</v>
      </c>
      <c r="F41" s="12" t="n">
        <v>6</v>
      </c>
      <c r="G41" s="17">
        <f>F41*E41</f>
        <v/>
      </c>
      <c r="H41" s="12" t="inlineStr">
        <is>
          <t>https://www.coupang.com/vp/products/6455358137</t>
        </is>
      </c>
    </row>
    <row r="42" ht="24.9" customHeight="1" s="15">
      <c r="A42" s="16" t="n">
        <v>40</v>
      </c>
      <c r="B42" s="12" t="inlineStr">
        <is>
          <t>RPM</t>
        </is>
      </c>
      <c r="C42" s="12" t="inlineStr">
        <is>
          <t>홍경표, 장수빈</t>
        </is>
      </c>
      <c r="D42" s="12" t="inlineStr">
        <is>
          <t>M6 너트 (M6 (맞변 10))</t>
        </is>
      </c>
      <c r="E42" s="17" t="n">
        <v>60</v>
      </c>
      <c r="F42" s="12" t="n">
        <v>4</v>
      </c>
      <c r="G42" s="17">
        <f>F42*E42</f>
        <v/>
      </c>
      <c r="H42" s="12" t="inlineStr">
        <is>
          <t>https://www.coupang.com/vp/products/7687671245</t>
        </is>
      </c>
    </row>
    <row r="43" ht="24.9" customHeight="1" s="15">
      <c r="A43" s="16" t="n">
        <v>41</v>
      </c>
      <c r="B43" s="12" t="inlineStr">
        <is>
          <t>RPM</t>
        </is>
      </c>
      <c r="C43" s="12" t="inlineStr">
        <is>
          <t>홍경표, 장수빈</t>
        </is>
      </c>
      <c r="D43" s="12" t="inlineStr">
        <is>
          <t>M6 나일론 너트 (M6 (DIN985, 두께 6))</t>
        </is>
      </c>
      <c r="E43" s="17" t="n">
        <v>170</v>
      </c>
      <c r="F43" s="12" t="n">
        <v>2</v>
      </c>
      <c r="G43" s="17">
        <f>F43*E43</f>
        <v/>
      </c>
      <c r="H43" s="12" t="inlineStr">
        <is>
          <t>https://www.coupang.com/vp/products/6280971320</t>
        </is>
      </c>
    </row>
    <row r="44" ht="24.9" customHeight="1" s="15">
      <c r="A44" s="16" t="n">
        <v>42</v>
      </c>
      <c r="B44" s="12" t="inlineStr">
        <is>
          <t>RPM</t>
        </is>
      </c>
      <c r="C44" s="12" t="inlineStr">
        <is>
          <t>홍경표, 장수빈</t>
        </is>
      </c>
      <c r="D44" s="12" t="inlineStr">
        <is>
          <t>목재 나사 (4×16 둥근머리 1종 (스텐, 26개 봉)) - 봉(26개)</t>
        </is>
      </c>
      <c r="E44" s="17" t="n">
        <v>1150</v>
      </c>
      <c r="F44" s="12" t="n">
        <v>1</v>
      </c>
      <c r="G44" s="17">
        <f>F44*E44</f>
        <v/>
      </c>
      <c r="H44" s="12" t="inlineStr">
        <is>
          <t>https://www.coupang.com/vp/products/7760964029</t>
        </is>
      </c>
    </row>
    <row r="45" ht="24.9" customHeight="1" s="15">
      <c r="A45" s="16" t="n">
        <v>43</v>
      </c>
      <c r="B45" s="12" t="inlineStr">
        <is>
          <t>RPM</t>
        </is>
      </c>
      <c r="C45" s="12" t="inlineStr">
        <is>
          <t>홍경표, 장수빈</t>
        </is>
      </c>
      <c r="D45" s="12" t="inlineStr">
        <is>
          <t>에폭시 접착제 (2액형)</t>
        </is>
      </c>
      <c r="E45" s="17" t="n">
        <v>4440</v>
      </c>
      <c r="F45" s="12" t="n">
        <v>1</v>
      </c>
      <c r="G45" s="17">
        <f>F45*E45</f>
        <v/>
      </c>
      <c r="H45" s="12" t="inlineStr">
        <is>
          <t>https://www.coupang.com/vp/products/2725054</t>
        </is>
      </c>
    </row>
    <row r="46" ht="24.9" customHeight="1" s="15">
      <c r="A46" s="16" t="n">
        <v>44</v>
      </c>
      <c r="B46" s="12" t="inlineStr">
        <is>
          <t>RPM</t>
        </is>
      </c>
      <c r="C46" s="12" t="inlineStr">
        <is>
          <t>홍경표, 장수빈</t>
        </is>
      </c>
      <c r="D46" s="12" t="inlineStr">
        <is>
          <t>순간접착제 (일반)</t>
        </is>
      </c>
      <c r="E46" s="17" t="n">
        <v>3000</v>
      </c>
      <c r="F46" s="12" t="n">
        <v>1</v>
      </c>
      <c r="G46" s="17">
        <f>F46*E46</f>
        <v/>
      </c>
      <c r="H46" s="12" t="inlineStr">
        <is>
          <t>https://www.coupang.com/vp/products/8643897709</t>
        </is>
      </c>
    </row>
    <row r="47" ht="24.9" customHeight="1" s="15">
      <c r="A47" s="16" t="n">
        <v>45</v>
      </c>
      <c r="B47" s="12" t="inlineStr">
        <is>
          <t>RPM</t>
        </is>
      </c>
      <c r="C47" s="12" t="inlineStr">
        <is>
          <t>홍경표, 장수빈</t>
        </is>
      </c>
      <c r="D47" s="12" t="inlineStr">
        <is>
          <t>자전거 브레이크 케이블 세트 (속선(니플 달린 것) 2m + 아우터 바깥지름 5 2m + 끝 캡)</t>
        </is>
      </c>
      <c r="E47" s="17" t="n">
        <v>6900</v>
      </c>
      <c r="F47" s="12" t="n">
        <v>1</v>
      </c>
      <c r="G47" s="17">
        <f>F47*E47</f>
        <v/>
      </c>
      <c r="H47" s="12" t="inlineStr">
        <is>
          <t>https://www.coupang.com/vp/products/8305908512</t>
        </is>
      </c>
    </row>
    <row r="48" ht="24.9" customHeight="1" s="15">
      <c r="A48" s="16" t="n">
        <v>46</v>
      </c>
      <c r="B48" s="12" t="inlineStr">
        <is>
          <t>RPM</t>
        </is>
      </c>
      <c r="C48" s="12" t="inlineStr">
        <is>
          <t>홍경표, 장수빈</t>
        </is>
      </c>
      <c r="D48" s="12" t="inlineStr">
        <is>
          <t>MDF 판 (12T 300×1200 재단)</t>
        </is>
      </c>
      <c r="E48" s="17" t="n">
        <v>9600</v>
      </c>
      <c r="F48" s="12" t="n">
        <v>1</v>
      </c>
      <c r="G48" s="17">
        <f>F48*E48</f>
        <v/>
      </c>
      <c r="H48" s="12" t="inlineStr">
        <is>
          <t>https://www.coupang.com/vp/products/71452005</t>
        </is>
      </c>
    </row>
    <row r="49" ht="24.9" customHeight="1" s="15">
      <c r="A49" s="16" t="n">
        <v>47</v>
      </c>
      <c r="B49" s="12" t="inlineStr">
        <is>
          <t>RPM</t>
        </is>
      </c>
      <c r="C49" s="12" t="inlineStr">
        <is>
          <t>홍경표, 장수빈</t>
        </is>
      </c>
      <c r="D49" s="12" t="inlineStr">
        <is>
          <t>투명 아크릴 (A3 3T)</t>
        </is>
      </c>
      <c r="E49" s="17" t="n">
        <v>9000</v>
      </c>
      <c r="F49" s="12" t="n">
        <v>3</v>
      </c>
      <c r="G49" s="17">
        <f>F49*E49</f>
        <v/>
      </c>
      <c r="H49" s="12" t="inlineStr">
        <is>
          <t>https://www.coupang.com/vp/products/9593337115</t>
        </is>
      </c>
    </row>
    <row r="50" ht="24.9" customHeight="1" s="15">
      <c r="A50" s="16" t="n">
        <v>48</v>
      </c>
      <c r="B50" s="12" t="inlineStr">
        <is>
          <t>RPM</t>
        </is>
      </c>
      <c r="C50" s="12" t="inlineStr">
        <is>
          <t>홍경표, 장수빈</t>
        </is>
      </c>
      <c r="D50" s="12" t="inlineStr">
        <is>
          <t>아두이노 레오나르도 R3 + 케이블 (ATmega32u4)</t>
        </is>
      </c>
      <c r="E50" s="17" t="n">
        <v>9200</v>
      </c>
      <c r="F50" s="12" t="n">
        <v>1</v>
      </c>
      <c r="G50" s="17">
        <f>F50*E50</f>
        <v/>
      </c>
      <c r="H50" s="12" t="inlineStr">
        <is>
          <t>https://www.coupang.com/vp/products/1119152790</t>
        </is>
      </c>
    </row>
    <row r="51" ht="24.9" customHeight="1" s="15">
      <c r="A51" s="16" t="n">
        <v>49</v>
      </c>
      <c r="B51" s="12" t="inlineStr">
        <is>
          <t>RPM</t>
        </is>
      </c>
      <c r="C51" s="12" t="inlineStr">
        <is>
          <t>홍경표, 장수빈</t>
        </is>
      </c>
      <c r="D51" s="12" t="inlineStr">
        <is>
          <t>홀센서 A3144 (3핀 소자)</t>
        </is>
      </c>
      <c r="E51" s="17" t="n">
        <v>90</v>
      </c>
      <c r="F51" s="12" t="n">
        <v>10</v>
      </c>
      <c r="G51" s="17">
        <f>F51*E51</f>
        <v/>
      </c>
      <c r="H51" s="12" t="inlineStr">
        <is>
          <t>https://www.coupang.com/vp/products/8520223332</t>
        </is>
      </c>
    </row>
    <row r="52" ht="24.9" customHeight="1" s="15">
      <c r="A52" s="16" t="n">
        <v>50</v>
      </c>
      <c r="B52" s="12" t="inlineStr">
        <is>
          <t>RPM</t>
        </is>
      </c>
      <c r="C52" s="12" t="inlineStr">
        <is>
          <t>홍경표, 장수빈</t>
        </is>
      </c>
      <c r="D52" s="12" t="inlineStr">
        <is>
          <t>마이크로스위치 (KW-11-3Z 레버형)</t>
        </is>
      </c>
      <c r="E52" s="17" t="n">
        <v>400</v>
      </c>
      <c r="F52" s="12" t="n">
        <v>2</v>
      </c>
      <c r="G52" s="17">
        <f>F52*E52</f>
        <v/>
      </c>
      <c r="H52" s="12" t="inlineStr">
        <is>
          <t>https://www.coupang.com/vp/products/9167678186</t>
        </is>
      </c>
    </row>
    <row r="53" ht="24.9" customHeight="1" s="15">
      <c r="A53" s="16" t="n">
        <v>51</v>
      </c>
      <c r="B53" s="12" t="inlineStr">
        <is>
          <t>RPM</t>
        </is>
      </c>
      <c r="C53" s="12" t="inlineStr">
        <is>
          <t>홍경표, 장수빈</t>
        </is>
      </c>
      <c r="D53" s="12" t="inlineStr">
        <is>
          <t>점퍼 케이블 (M-F 40P 40cm)</t>
        </is>
      </c>
      <c r="E53" s="17" t="n">
        <v>5300</v>
      </c>
      <c r="F53" s="12" t="n">
        <v>1</v>
      </c>
      <c r="G53" s="17">
        <f>F53*E53</f>
        <v/>
      </c>
      <c r="H53" s="12" t="inlineStr">
        <is>
          <t>https://www.coupang.com/vp/products/9699042565</t>
        </is>
      </c>
    </row>
    <row r="54" ht="24.9" customHeight="1" s="15">
      <c r="A54" s="16" t="n">
        <v>52</v>
      </c>
      <c r="B54" s="12" t="inlineStr">
        <is>
          <t>RPM</t>
        </is>
      </c>
      <c r="C54" s="12" t="inlineStr">
        <is>
          <t>홍경표, 장수빈</t>
        </is>
      </c>
      <c r="D54" s="12" t="inlineStr">
        <is>
          <t>자동차 릴레이 + 소켓 (12V, 접점 40A, 4핀)</t>
        </is>
      </c>
      <c r="E54" s="17" t="n">
        <v>3100</v>
      </c>
      <c r="F54" s="12" t="n">
        <v>1</v>
      </c>
      <c r="G54" s="17">
        <f>F54*E54</f>
        <v/>
      </c>
      <c r="H54" s="12" t="inlineStr">
        <is>
          <t>https://www.coupang.com/vp/products/6667848502</t>
        </is>
      </c>
    </row>
    <row r="55" ht="24.9" customHeight="1" s="15">
      <c r="A55" s="16" t="n">
        <v>53</v>
      </c>
      <c r="B55" s="12" t="inlineStr">
        <is>
          <t>RPM</t>
        </is>
      </c>
      <c r="C55" s="12" t="inlineStr">
        <is>
          <t>홍경표, 장수빈</t>
        </is>
      </c>
      <c r="D55" s="12" t="inlineStr">
        <is>
          <t>블레이드 퓨즈 + 인라인 홀더 (15A)</t>
        </is>
      </c>
      <c r="E55" s="17" t="n">
        <v>8900</v>
      </c>
      <c r="F55" s="12" t="n">
        <v>1</v>
      </c>
      <c r="G55" s="17">
        <f>F55*E55</f>
        <v/>
      </c>
      <c r="H55" s="12" t="inlineStr">
        <is>
          <t>https://www.coupang.com/vp/products/9663070188</t>
        </is>
      </c>
    </row>
    <row r="56" ht="24.9" customHeight="1" s="15">
      <c r="A56" s="16" t="n">
        <v>54</v>
      </c>
      <c r="B56" s="12" t="inlineStr">
        <is>
          <t>RPM</t>
        </is>
      </c>
      <c r="C56" s="12" t="inlineStr">
        <is>
          <t>홍경표, 장수빈</t>
        </is>
      </c>
      <c r="D56" s="12" t="inlineStr">
        <is>
          <t>전선 (1.5mm²(16AWG) 이상, 적·흑 각 2m) - 세트(1m)</t>
        </is>
      </c>
      <c r="E56" s="17" t="n">
        <v>1310</v>
      </c>
      <c r="F56" s="12" t="n">
        <v>2</v>
      </c>
      <c r="G56" s="17">
        <f>F56*E56</f>
        <v/>
      </c>
      <c r="H56" s="12" t="inlineStr">
        <is>
          <t>https://www.coupang.com/vp/products/7225302003</t>
        </is>
      </c>
    </row>
    <row r="57" ht="24.9" customHeight="1" s="15">
      <c r="A57" s="16" t="n">
        <v>55</v>
      </c>
      <c r="B57" s="12" t="inlineStr">
        <is>
          <t>RPM</t>
        </is>
      </c>
      <c r="C57" s="12" t="inlineStr">
        <is>
          <t>홍경표, 장수빈</t>
        </is>
      </c>
      <c r="D57" s="12" t="inlineStr">
        <is>
          <t>압착 단자 세트 (250 규격(6.3mm) 절연 암 평형 단자 (22~16AWG)) - 봉(2개)</t>
        </is>
      </c>
      <c r="E57" s="17" t="n">
        <v>310</v>
      </c>
      <c r="F57" s="12" t="n">
        <v>3</v>
      </c>
      <c r="G57" s="17">
        <f>F57*E57</f>
        <v/>
      </c>
      <c r="H57" s="12" t="inlineStr">
        <is>
          <t>https://www.coupang.com/vp/products/8667960491</t>
        </is>
      </c>
    </row>
    <row r="58" ht="24.9" customHeight="1" s="15">
      <c r="A58" s="16" t="n">
        <v>56</v>
      </c>
      <c r="B58" s="12" t="inlineStr">
        <is>
          <t>RPM</t>
        </is>
      </c>
      <c r="C58" s="12" t="inlineStr">
        <is>
          <t>홍경표, 장수빈</t>
        </is>
      </c>
      <c r="D58" s="12" t="inlineStr">
        <is>
          <t>배송비 (판매처별 합계)</t>
        </is>
      </c>
      <c r="E58" s="17" t="n">
        <v>53200</v>
      </c>
      <c r="F58" s="12" t="n">
        <v>1</v>
      </c>
      <c r="G58" s="17">
        <f>F58*E58</f>
        <v/>
      </c>
      <c r="H58" s="12" t="inlineStr">
        <is>
          <t>판매처별 배송비 합계</t>
        </is>
      </c>
    </row>
    <row r="59" ht="24.9" customHeight="1" s="15">
      <c r="A59" s="16" t="n">
        <v>57</v>
      </c>
      <c r="B59" s="12" t="inlineStr">
        <is>
          <t>RPM</t>
        </is>
      </c>
      <c r="C59" s="12" t="inlineStr">
        <is>
          <t>홍경표, 장수빈</t>
        </is>
      </c>
      <c r="D59" s="12" t="inlineStr">
        <is>
          <t>축 양면 D컷 가공 (입력축 435, 출력축 358) (면 사이 10.0, 전체 길이)</t>
        </is>
      </c>
      <c r="E59" s="17" t="n"/>
      <c r="F59" s="12" t="n">
        <v>2</v>
      </c>
      <c r="G59" s="17">
        <f>F59*E59</f>
        <v/>
      </c>
      <c r="H59" s="12" t="inlineStr">
        <is>
          <t>소망트레이딩(가공) (견적 후)</t>
        </is>
      </c>
    </row>
    <row r="60">
      <c r="A60" s="9" t="n"/>
      <c r="B60" s="6" t="n"/>
      <c r="C60" s="6" t="n"/>
      <c r="D60" s="6" t="n"/>
      <c r="E60" s="18" t="inlineStr">
        <is>
          <t>소계</t>
        </is>
      </c>
      <c r="F60" s="19">
        <f>SUM(F3:F59)</f>
        <v/>
      </c>
      <c r="G60" s="20">
        <f>SUM(G3:G59)</f>
        <v/>
      </c>
      <c r="H60" s="6" t="n"/>
    </row>
    <row r="61">
      <c r="A61" t="inlineStr">
        <is>
          <t>※ 예상단가는 2026-10-20 판매처 화면 가격(VAT 포함). 축 양면 D컷 가공비는 소망트레이딩 견적 후 추가.</t>
        </is>
      </c>
    </row>
  </sheetData>
  <mergeCells count="1">
    <mergeCell ref="A1:H1"/>
  </mergeCells>
  <hyperlinks>
    <hyperlink xmlns:r="http://schemas.openxmlformats.org/officeDocument/2006/relationships" ref="H3" r:id="rId1"/>
    <hyperlink xmlns:r="http://schemas.openxmlformats.org/officeDocument/2006/relationships" ref="H4" r:id="rId2"/>
    <hyperlink xmlns:r="http://schemas.openxmlformats.org/officeDocument/2006/relationships" ref="H5" r:id="rId3"/>
    <hyperlink xmlns:r="http://schemas.openxmlformats.org/officeDocument/2006/relationships" ref="H6" r:id="rId4"/>
    <hyperlink xmlns:r="http://schemas.openxmlformats.org/officeDocument/2006/relationships" ref="H7" r:id="rId5"/>
    <hyperlink xmlns:r="http://schemas.openxmlformats.org/officeDocument/2006/relationships" ref="H8" r:id="rId6"/>
    <hyperlink xmlns:r="http://schemas.openxmlformats.org/officeDocument/2006/relationships" ref="H9" r:id="rId7"/>
    <hyperlink xmlns:r="http://schemas.openxmlformats.org/officeDocument/2006/relationships" ref="H10" r:id="rId8"/>
    <hyperlink xmlns:r="http://schemas.openxmlformats.org/officeDocument/2006/relationships" ref="H11" r:id="rId9"/>
    <hyperlink xmlns:r="http://schemas.openxmlformats.org/officeDocument/2006/relationships" ref="H12" r:id="rId10"/>
    <hyperlink xmlns:r="http://schemas.openxmlformats.org/officeDocument/2006/relationships" ref="H13" r:id="rId11"/>
    <hyperlink xmlns:r="http://schemas.openxmlformats.org/officeDocument/2006/relationships" ref="H14" r:id="rId12"/>
    <hyperlink xmlns:r="http://schemas.openxmlformats.org/officeDocument/2006/relationships" ref="H15" r:id="rId13"/>
    <hyperlink xmlns:r="http://schemas.openxmlformats.org/officeDocument/2006/relationships" ref="H16" r:id="rId14"/>
    <hyperlink xmlns:r="http://schemas.openxmlformats.org/officeDocument/2006/relationships" ref="H17" r:id="rId15"/>
    <hyperlink xmlns:r="http://schemas.openxmlformats.org/officeDocument/2006/relationships" ref="H18" r:id="rId16"/>
    <hyperlink xmlns:r="http://schemas.openxmlformats.org/officeDocument/2006/relationships" ref="H19" r:id="rId17"/>
    <hyperlink xmlns:r="http://schemas.openxmlformats.org/officeDocument/2006/relationships" ref="H20" r:id="rId18"/>
    <hyperlink xmlns:r="http://schemas.openxmlformats.org/officeDocument/2006/relationships" ref="H21" r:id="rId19"/>
    <hyperlink xmlns:r="http://schemas.openxmlformats.org/officeDocument/2006/relationships" ref="H22" r:id="rId20"/>
    <hyperlink xmlns:r="http://schemas.openxmlformats.org/officeDocument/2006/relationships" ref="H23" r:id="rId21"/>
    <hyperlink xmlns:r="http://schemas.openxmlformats.org/officeDocument/2006/relationships" ref="H24" r:id="rId22"/>
    <hyperlink xmlns:r="http://schemas.openxmlformats.org/officeDocument/2006/relationships" ref="H25" r:id="rId23"/>
    <hyperlink xmlns:r="http://schemas.openxmlformats.org/officeDocument/2006/relationships" ref="H26" r:id="rId24"/>
    <hyperlink xmlns:r="http://schemas.openxmlformats.org/officeDocument/2006/relationships" ref="H27" r:id="rId25"/>
    <hyperlink xmlns:r="http://schemas.openxmlformats.org/officeDocument/2006/relationships" ref="H28" r:id="rId26"/>
    <hyperlink xmlns:r="http://schemas.openxmlformats.org/officeDocument/2006/relationships" ref="H29" r:id="rId27"/>
    <hyperlink xmlns:r="http://schemas.openxmlformats.org/officeDocument/2006/relationships" ref="H30" r:id="rId28"/>
    <hyperlink xmlns:r="http://schemas.openxmlformats.org/officeDocument/2006/relationships" ref="H31" r:id="rId29"/>
    <hyperlink xmlns:r="http://schemas.openxmlformats.org/officeDocument/2006/relationships" ref="H32" r:id="rId30"/>
    <hyperlink xmlns:r="http://schemas.openxmlformats.org/officeDocument/2006/relationships" ref="H33" r:id="rId31"/>
    <hyperlink xmlns:r="http://schemas.openxmlformats.org/officeDocument/2006/relationships" ref="H34" r:id="rId32"/>
    <hyperlink xmlns:r="http://schemas.openxmlformats.org/officeDocument/2006/relationships" ref="H35" r:id="rId33"/>
    <hyperlink xmlns:r="http://schemas.openxmlformats.org/officeDocument/2006/relationships" ref="H36" r:id="rId34"/>
    <hyperlink xmlns:r="http://schemas.openxmlformats.org/officeDocument/2006/relationships" ref="H37" r:id="rId35"/>
    <hyperlink xmlns:r="http://schemas.openxmlformats.org/officeDocument/2006/relationships" ref="H38" r:id="rId36"/>
    <hyperlink xmlns:r="http://schemas.openxmlformats.org/officeDocument/2006/relationships" ref="H39" r:id="rId37"/>
    <hyperlink xmlns:r="http://schemas.openxmlformats.org/officeDocument/2006/relationships" ref="H40" r:id="rId38"/>
    <hyperlink xmlns:r="http://schemas.openxmlformats.org/officeDocument/2006/relationships" ref="H41" r:id="rId39"/>
    <hyperlink xmlns:r="http://schemas.openxmlformats.org/officeDocument/2006/relationships" ref="H42" r:id="rId40"/>
    <hyperlink xmlns:r="http://schemas.openxmlformats.org/officeDocument/2006/relationships" ref="H43" r:id="rId41"/>
    <hyperlink xmlns:r="http://schemas.openxmlformats.org/officeDocument/2006/relationships" ref="H44" r:id="rId42"/>
    <hyperlink xmlns:r="http://schemas.openxmlformats.org/officeDocument/2006/relationships" ref="H45" r:id="rId43"/>
    <hyperlink xmlns:r="http://schemas.openxmlformats.org/officeDocument/2006/relationships" ref="H46" r:id="rId44"/>
    <hyperlink xmlns:r="http://schemas.openxmlformats.org/officeDocument/2006/relationships" ref="H47" r:id="rId45"/>
    <hyperlink xmlns:r="http://schemas.openxmlformats.org/officeDocument/2006/relationships" ref="H48" r:id="rId46"/>
    <hyperlink xmlns:r="http://schemas.openxmlformats.org/officeDocument/2006/relationships" ref="H49" r:id="rId47"/>
    <hyperlink xmlns:r="http://schemas.openxmlformats.org/officeDocument/2006/relationships" ref="H50" r:id="rId48"/>
    <hyperlink xmlns:r="http://schemas.openxmlformats.org/officeDocument/2006/relationships" ref="H51" r:id="rId49"/>
    <hyperlink xmlns:r="http://schemas.openxmlformats.org/officeDocument/2006/relationships" ref="H52" r:id="rId50"/>
    <hyperlink xmlns:r="http://schemas.openxmlformats.org/officeDocument/2006/relationships" ref="H53" r:id="rId51"/>
    <hyperlink xmlns:r="http://schemas.openxmlformats.org/officeDocument/2006/relationships" ref="H54" r:id="rId52"/>
    <hyperlink xmlns:r="http://schemas.openxmlformats.org/officeDocument/2006/relationships" ref="H55" r:id="rId53"/>
    <hyperlink xmlns:r="http://schemas.openxmlformats.org/officeDocument/2006/relationships" ref="H56" r:id="rId54"/>
    <hyperlink xmlns:r="http://schemas.openxmlformats.org/officeDocument/2006/relationships" ref="H57" r:id="rId55"/>
  </hyperlinks>
  <pageMargins left="0.7" right="0.7" top="0.75" bottom="0.75" header="0.3" footer="0.3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2025-03-10T07:08:01Z</dcterms:created>
  <dcterms:modified xmlns:dcterms="http://purl.org/dc/terms/" xmlns:xsi="http://www.w3.org/2001/XMLSchema-instance" xsi:type="dcterms:W3CDTF">2026-10-22T07:09:49Z</dcterms:modified>
  <cp:lastModifiedBy>User</cp:lastModifiedBy>
</cp:coreProperties>
</file>