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구매목록_v3" sheetId="2" state="visible" r:id="rId2"/>
    <sheet xmlns:r="http://schemas.openxmlformats.org/officeDocument/2006/relationships" name="구매목록_v2(9-25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17" t="inlineStr">
        <is>
          <t>3D프린팅 수동변속기 제작 - 구매 물품 목록 (v4.1)</t>
        </is>
      </c>
    </row>
    <row r="2" ht="15" customHeight="1" s="16">
      <c r="A2" s="18" t="inlineStr">
        <is>
          <t>작성일 2026-10-19 · 설계서 v4.1 기준 · 노란 칸(단가)만 입력하면 금액·합계가 계산됩니다. 단가는 v3 표(2026-10-19 확인)에서 가져온 것만 넣음, 비어 있는 칸은 미확인입니다(비고의 검색어로 확인).</t>
        </is>
      </c>
    </row>
    <row r="4" ht="16.5" customHeight="1" s="16">
      <c r="A4" s="19" t="inlineStr">
        <is>
          <t>번호</t>
        </is>
      </c>
      <c r="B4" s="19" t="inlineStr">
        <is>
          <t>품명</t>
        </is>
      </c>
      <c r="C4" s="19" t="inlineStr">
        <is>
          <t>규격</t>
        </is>
      </c>
      <c r="D4" s="19" t="inlineStr">
        <is>
          <t>수량</t>
        </is>
      </c>
      <c r="E4" s="19" t="inlineStr">
        <is>
          <t>단위</t>
        </is>
      </c>
      <c r="F4" s="19" t="inlineStr">
        <is>
          <t>단가(원)</t>
        </is>
      </c>
      <c r="G4" s="19" t="inlineStr">
        <is>
          <t>금액(원)</t>
        </is>
      </c>
      <c r="H4" s="19" t="inlineStr">
        <is>
          <t>용도</t>
        </is>
      </c>
      <c r="I4" s="19" t="inlineStr">
        <is>
          <t>상태</t>
        </is>
      </c>
      <c r="J4" s="19" t="inlineStr">
        <is>
          <t>비고</t>
        </is>
      </c>
    </row>
    <row r="5" ht="29.25" customHeight="1" s="16">
      <c r="A5" s="20" t="n">
        <v>1</v>
      </c>
      <c r="B5" s="21" t="inlineStr">
        <is>
          <t>6001ZZ 볼 베어링 (10개 묶음)</t>
        </is>
      </c>
      <c r="C5" s="20" t="inlineStr">
        <is>
          <t>12×28×8</t>
        </is>
      </c>
      <c r="D5" s="20" t="n">
        <v>2</v>
      </c>
      <c r="E5" s="21" t="inlineStr">
        <is>
          <t>묶음</t>
        </is>
      </c>
      <c r="F5" s="22" t="n">
        <v>6000</v>
      </c>
      <c r="G5" s="23">
        <f>D5*F5</f>
        <v/>
      </c>
      <c r="H5" s="21" t="inlineStr">
        <is>
          <t>끝판 4 + 출력 기어 12 + 아이들러 2 + 클러치 파일럿 1 = 19개</t>
        </is>
      </c>
      <c r="I5" s="21" t="inlineStr">
        <is>
          <t>확정</t>
        </is>
      </c>
      <c r="J5" s="21" t="inlineStr">
        <is>
          <t>v3 단가 · 쿠팡 /vp/products/8630678241</t>
        </is>
      </c>
    </row>
    <row r="6" ht="29.25" customHeight="1" s="16">
      <c r="A6" s="20" t="n">
        <v>2</v>
      </c>
      <c r="B6" s="21" t="inlineStr">
        <is>
          <t>6003ZZ 볼 베어링</t>
        </is>
      </c>
      <c r="C6" s="20" t="inlineStr">
        <is>
          <t>17×35×10</t>
        </is>
      </c>
      <c r="D6" s="20" t="n">
        <v>1</v>
      </c>
      <c r="E6" s="21" t="inlineStr">
        <is>
          <t>개</t>
        </is>
      </c>
      <c r="F6" s="22" t="n"/>
      <c r="G6" s="23">
        <f>D6*F6</f>
        <v/>
      </c>
      <c r="H6" s="21" t="inlineStr">
        <is>
          <t>클러치 릴리스 베어링</t>
        </is>
      </c>
      <c r="I6" s="21" t="inlineStr">
        <is>
          <t>확정</t>
        </is>
      </c>
      <c r="J6" s="21" t="inlineStr">
        <is>
          <t>단가 미확인 · 검색어 "6003ZZ" · 02 시험편으로 압입 자리 확인</t>
        </is>
      </c>
    </row>
    <row r="7" ht="29.25" customHeight="1" s="16">
      <c r="A7" s="20" t="n">
        <v>3</v>
      </c>
      <c r="B7" s="21" t="inlineStr">
        <is>
          <t>연마봉(강철 축)</t>
        </is>
      </c>
      <c r="C7" s="20" t="inlineStr">
        <is>
          <t>Ø12 1m → 435·358(둘 다 전체 양면 D컷: 마주 보는 두 면, 면 사이 10.0) + 160</t>
        </is>
      </c>
      <c r="D7" s="20" t="n">
        <v>1</v>
      </c>
      <c r="E7" s="21" t="inlineStr">
        <is>
          <t>개</t>
        </is>
      </c>
      <c r="F7" s="22" t="n">
        <v>16000</v>
      </c>
      <c r="G7" s="23">
        <f>D7*F7</f>
        <v/>
      </c>
      <c r="H7" s="21" t="inlineStr">
        <is>
          <t>입력축 435, 출력축 358, 레버봉 160</t>
        </is>
      </c>
      <c r="I7" s="21" t="inlineStr">
        <is>
          <t>확정</t>
        </is>
      </c>
      <c r="J7" s="21" t="inlineStr">
        <is>
          <t>v3 단가 · 소망트레이딩 · 절단·양면 D컷 비용 미확인(전화 문의)</t>
        </is>
      </c>
    </row>
    <row r="8" ht="29.25" customHeight="1" s="16">
      <c r="A8" s="20" t="n">
        <v>4</v>
      </c>
      <c r="B8" s="21" t="inlineStr">
        <is>
          <t>연마봉(강철 축) 짧은 것</t>
        </is>
      </c>
      <c r="C8" s="20" t="inlineStr">
        <is>
          <t>Ø12, 55mm 이상 (55로 절단)</t>
        </is>
      </c>
      <c r="D8" s="20" t="n">
        <v>1</v>
      </c>
      <c r="E8" s="21" t="inlineStr">
        <is>
          <t>개</t>
        </is>
      </c>
      <c r="F8" s="22" t="n"/>
      <c r="G8" s="23">
        <f>D8*F8</f>
        <v/>
      </c>
      <c r="H8" s="21" t="inlineStr">
        <is>
          <t>후진 아이들러 축</t>
        </is>
      </c>
      <c r="I8" s="21" t="inlineStr">
        <is>
          <t>확정</t>
        </is>
      </c>
      <c r="J8" s="21" t="inlineStr">
        <is>
          <t>1m 에서 위 3개를 자르면 약 41mm 만 남아 따로 필요 · 단가 미확인</t>
        </is>
      </c>
    </row>
    <row r="9" ht="29.25" customHeight="1" s="16">
      <c r="A9" s="20" t="n">
        <v>5</v>
      </c>
      <c r="B9" s="21" t="inlineStr">
        <is>
          <t>연마봉(변속 레일)</t>
        </is>
      </c>
      <c r="C9" s="20" t="inlineStr">
        <is>
          <t>Ø6, 371mm</t>
        </is>
      </c>
      <c r="D9" s="20" t="n">
        <v>3</v>
      </c>
      <c r="E9" s="21" t="inlineStr">
        <is>
          <t>개</t>
        </is>
      </c>
      <c r="F9" s="22" t="n"/>
      <c r="G9" s="23">
        <f>D9*F9</f>
        <v/>
      </c>
      <c r="H9" s="21" t="inlineStr">
        <is>
          <t>시프트 레일</t>
        </is>
      </c>
      <c r="I9" s="21" t="inlineStr">
        <is>
          <t>확정</t>
        </is>
      </c>
      <c r="J9" s="21" t="inlineStr">
        <is>
          <t>소망트레이딩 · 단가 미확인 (v3 참고: 200mm 2,600원)</t>
        </is>
      </c>
    </row>
    <row r="10" ht="29.25" customHeight="1" s="16">
      <c r="A10" s="20" t="n">
        <v>6</v>
      </c>
      <c r="B10" s="21" t="inlineStr">
        <is>
          <t>강철 평행핀</t>
        </is>
      </c>
      <c r="C10" s="20" t="inlineStr">
        <is>
          <t>Ø5×25</t>
        </is>
      </c>
      <c r="D10" s="20" t="n">
        <v>28</v>
      </c>
      <c r="E10" s="21" t="inlineStr">
        <is>
          <t>개</t>
        </is>
      </c>
      <c r="F10" s="22" t="n"/>
      <c r="G10" s="23">
        <f>D10*F10</f>
        <v/>
      </c>
      <c r="H10" s="21" t="inlineStr">
        <is>
          <t>출력 기어 6개 × 4 = 24 (+여유 4): 도그</t>
        </is>
      </c>
      <c r="I10" s="21" t="inlineStr">
        <is>
          <t>확정</t>
        </is>
      </c>
      <c r="J10" s="21" t="inlineStr">
        <is>
          <t>검색어 "평행핀 5x25" · 02 시험편(구멍 4.8/4.9/5.0)으로 압입 구멍 확정</t>
        </is>
      </c>
    </row>
    <row r="11" ht="29.25" customHeight="1" s="16">
      <c r="A11" s="20" t="n">
        <v>7</v>
      </c>
      <c r="B11" s="21" t="inlineStr">
        <is>
          <t>강철 평행핀</t>
        </is>
      </c>
      <c r="C11" s="20" t="inlineStr">
        <is>
          <t>Ø5×40</t>
        </is>
      </c>
      <c r="D11" s="20" t="n">
        <v>6</v>
      </c>
      <c r="E11" s="21" t="inlineStr">
        <is>
          <t>개</t>
        </is>
      </c>
      <c r="F11" s="22" t="n"/>
      <c r="G11" s="23">
        <f>D11*F11</f>
        <v/>
      </c>
      <c r="H11" s="21" t="inlineStr">
        <is>
          <t>스프로킷 커플링 핀</t>
        </is>
      </c>
      <c r="I11" s="21" t="inlineStr">
        <is>
          <t>확정</t>
        </is>
      </c>
      <c r="J11" s="21" t="inlineStr">
        <is>
          <t>검색어 "평행핀 5x40"</t>
        </is>
      </c>
    </row>
    <row r="12" ht="29.25" customHeight="1" s="16">
      <c r="A12" s="20" t="n">
        <v>8</v>
      </c>
      <c r="B12" s="21" t="inlineStr">
        <is>
          <t>NBR 고무 호스</t>
        </is>
      </c>
      <c r="C12" s="20" t="inlineStr">
        <is>
          <t>안지름 5 × 바깥지름 10</t>
        </is>
      </c>
      <c r="D12" s="20" t="n">
        <v>1</v>
      </c>
      <c r="E12" s="21" t="inlineStr">
        <is>
          <t>m</t>
        </is>
      </c>
      <c r="F12" s="22" t="n"/>
      <c r="G12" s="23">
        <f>D12*F12</f>
        <v/>
      </c>
      <c r="H12" s="21" t="inlineStr">
        <is>
          <t>핀 쿠션 (6mm × 24개 = 144mm)</t>
        </is>
      </c>
      <c r="I12" s="21" t="inlineStr">
        <is>
          <t>확정</t>
        </is>
      </c>
      <c r="J12" s="21" t="inlineStr">
        <is>
          <t>쇼어 70A 내외 · 검색어 "NBR 호스 5mm 10mm"</t>
        </is>
      </c>
    </row>
    <row r="13" ht="29.25" customHeight="1" s="16">
      <c r="A13" s="20" t="n">
        <v>9</v>
      </c>
      <c r="B13" s="21" t="inlineStr">
        <is>
          <t>큰 와셔 DIN9021 M16 (강철)</t>
        </is>
      </c>
      <c r="C13" s="20" t="inlineStr">
        <is>
          <t>안지름 17 × 바깥지름 50 × 두께 3</t>
        </is>
      </c>
      <c r="D13" s="20" t="n">
        <v>2</v>
      </c>
      <c r="E13" s="21" t="inlineStr">
        <is>
          <t>개</t>
        </is>
      </c>
      <c r="F13" s="22" t="n"/>
      <c r="G13" s="23">
        <f>D13*F13</f>
        <v/>
      </c>
      <c r="H13" s="21" t="inlineStr">
        <is>
          <t>클러치 원판 1 + 여분 1</t>
        </is>
      </c>
      <c r="I13" s="21" t="inlineStr">
        <is>
          <t>확정</t>
        </is>
      </c>
      <c r="J13" s="21" t="inlineStr">
        <is>
          <t>검색어 "M16 큰와셔 50mm" · 두께 3 확인</t>
        </is>
      </c>
    </row>
    <row r="14" ht="29.25" customHeight="1" s="16">
      <c r="A14" s="20" t="n">
        <v>10</v>
      </c>
      <c r="B14" s="21" t="inlineStr">
        <is>
          <t>코르크 시트</t>
        </is>
      </c>
      <c r="C14" s="20" t="inlineStr">
        <is>
          <t>두께 2mm, A4</t>
        </is>
      </c>
      <c r="D14" s="20" t="n">
        <v>1</v>
      </c>
      <c r="E14" s="21" t="inlineStr">
        <is>
          <t>장</t>
        </is>
      </c>
      <c r="F14" s="22" t="n"/>
      <c r="G14" s="23">
        <f>D14*F14</f>
        <v/>
      </c>
      <c r="H14" s="21" t="inlineStr">
        <is>
          <t>클러치 마찰재 링 2개 (바깥 Ø50, 안 Ø26)</t>
        </is>
      </c>
      <c r="I14" s="21" t="inlineStr">
        <is>
          <t>확정</t>
        </is>
      </c>
      <c r="J14" s="21" t="inlineStr">
        <is>
          <t>검색어 "코르크 시트 2mm"</t>
        </is>
      </c>
    </row>
    <row r="15" ht="29.25" customHeight="1" s="16">
      <c r="A15" s="20" t="n">
        <v>11</v>
      </c>
      <c r="B15" s="21" t="inlineStr">
        <is>
          <t>압축 스프링 C252</t>
        </is>
      </c>
      <c r="C15" s="20" t="inlineStr">
        <is>
          <t>외경 18, 자유장 32</t>
        </is>
      </c>
      <c r="D15" s="20" t="n">
        <v>7</v>
      </c>
      <c r="E15" s="21" t="inlineStr">
        <is>
          <t>개</t>
        </is>
      </c>
      <c r="F15" s="22" t="n">
        <v>8360</v>
      </c>
      <c r="G15" s="23">
        <f>D15*F15</f>
        <v/>
      </c>
      <c r="H15" s="21" t="inlineStr">
        <is>
          <t>포크 카트리지 3 + 클러치 3 + 레버 후진 잠금 1</t>
        </is>
      </c>
      <c r="I15" s="21" t="inlineStr">
        <is>
          <t>확정</t>
        </is>
      </c>
      <c r="J15" s="21" t="inlineStr">
        <is>
          <t>디바이스마트 no=15336269 · 선경 미표기 → 스프링 상수·허용 하중으로 역산 선경 약 1.4~1.6, 안지름 약 14.8~15.2 (필요 12.5 이상, 미검증)</t>
        </is>
      </c>
    </row>
    <row r="16" ht="29.25" customHeight="1" s="16">
      <c r="A16" s="20" t="n">
        <v>12</v>
      </c>
      <c r="B16" s="21" t="inlineStr">
        <is>
          <t>압축 스프링 C147</t>
        </is>
      </c>
      <c r="C16" s="20" t="inlineStr">
        <is>
          <t>외경 5, 길이 10</t>
        </is>
      </c>
      <c r="D16" s="20" t="n">
        <v>3</v>
      </c>
      <c r="E16" s="21" t="inlineStr">
        <is>
          <t>개</t>
        </is>
      </c>
      <c r="F16" s="22" t="n">
        <v>990</v>
      </c>
      <c r="G16" s="23">
        <f>D16*F16</f>
        <v/>
      </c>
      <c r="H16" s="21" t="inlineStr">
        <is>
          <t>러그 디텐트</t>
        </is>
      </c>
      <c r="I16" s="21" t="inlineStr">
        <is>
          <t>확정</t>
        </is>
      </c>
      <c r="J16" s="21" t="inlineStr">
        <is>
          <t>디바이스마트 no=15336164</t>
        </is>
      </c>
    </row>
    <row r="17" ht="29.25" customHeight="1" s="16">
      <c r="A17" s="20" t="n">
        <v>13</v>
      </c>
      <c r="B17" s="21" t="inlineStr">
        <is>
          <t>강구</t>
        </is>
      </c>
      <c r="C17" s="20" t="inlineStr">
        <is>
          <t>Ø6mm 50개</t>
        </is>
      </c>
      <c r="D17" s="20" t="n">
        <v>1</v>
      </c>
      <c r="E17" s="21" t="inlineStr">
        <is>
          <t>봉</t>
        </is>
      </c>
      <c r="F17" s="22" t="n">
        <v>3500</v>
      </c>
      <c r="G17" s="23">
        <f>D17*F17</f>
        <v/>
      </c>
      <c r="H17" s="21" t="inlineStr">
        <is>
          <t>러그 디텐트 3</t>
        </is>
      </c>
      <c r="I17" s="21" t="inlineStr">
        <is>
          <t>확정</t>
        </is>
      </c>
      <c r="J17" s="21" t="inlineStr">
        <is>
          <t>v3 단가 · 쿠팡 /9638493021</t>
        </is>
      </c>
    </row>
    <row r="18" ht="29.25" customHeight="1" s="16">
      <c r="A18" s="20" t="n">
        <v>14</v>
      </c>
      <c r="B18" s="21" t="inlineStr">
        <is>
          <t>샤프트 칼라 (Ø6 축용)</t>
        </is>
      </c>
      <c r="C18" s="20" t="inlineStr">
        <is>
          <t>안지름 6, 바깥지름 12, 폭 8, 멈춤나사형 (표준 규격)</t>
        </is>
      </c>
      <c r="D18" s="20" t="n">
        <v>6</v>
      </c>
      <c r="E18" s="21" t="inlineStr">
        <is>
          <t>개</t>
        </is>
      </c>
      <c r="F18" s="22" t="n"/>
      <c r="G18" s="23">
        <f>D18*F18</f>
        <v/>
      </c>
      <c r="H18" s="21" t="inlineStr">
        <is>
          <t>변속 레일 카트리지 양쪽</t>
        </is>
      </c>
      <c r="I18" s="21" t="inlineStr">
        <is>
          <t>확정</t>
        </is>
      </c>
      <c r="J18" s="21" t="inlineStr">
        <is>
          <t>예: RS PRO 8236939 (6/12/8, 5개 묶음) · 바깥지름 12 넘으면 카트리지 구멍(13)에 안 들어감</t>
        </is>
      </c>
    </row>
    <row r="19" ht="29.25" customHeight="1" s="16">
      <c r="A19" s="20" t="n">
        <v>15</v>
      </c>
      <c r="B19" s="21" t="inlineStr">
        <is>
          <t>볼트너트 세트</t>
        </is>
      </c>
      <c r="C19" s="20" t="inlineStr">
        <is>
          <t>M3·M4·M5 스텐 500pcs</t>
        </is>
      </c>
      <c r="D19" s="20" t="n">
        <v>1</v>
      </c>
      <c r="E19" s="21" t="inlineStr">
        <is>
          <t>세트</t>
        </is>
      </c>
      <c r="F19" s="22" t="n">
        <v>12580</v>
      </c>
      <c r="G19" s="23">
        <f>D19*F19</f>
        <v/>
      </c>
      <c r="H19" s="21" t="inlineStr">
        <is>
          <t>일반 고정</t>
        </is>
      </c>
      <c r="I19" s="21" t="inlineStr">
        <is>
          <t>확정</t>
        </is>
      </c>
      <c r="J19" s="21" t="inlineStr">
        <is>
          <t>v3 단가 · 쿠팡 /2236695303 · 길이 구성 미확인 → 아래 길이별 항목과 비교 후 부족분만</t>
        </is>
      </c>
    </row>
    <row r="20" ht="29.25" customHeight="1" s="16">
      <c r="A20" s="20" t="n">
        <v>16</v>
      </c>
      <c r="B20" s="21" t="inlineStr">
        <is>
          <t>M3 볼트 + 너트</t>
        </is>
      </c>
      <c r="C20" s="20" t="inlineStr">
        <is>
          <t>M3×20</t>
        </is>
      </c>
      <c r="D20" s="20" t="n">
        <v>9</v>
      </c>
      <c r="E20" s="21" t="inlineStr">
        <is>
          <t>세트</t>
        </is>
      </c>
      <c r="F20" s="22" t="n"/>
      <c r="G20" s="23">
        <f>D20*F20</f>
        <v/>
      </c>
      <c r="H20" s="21" t="inlineStr">
        <is>
          <t>슬리브 결합 (머리·너트는 육각 자리 안에 숨음)</t>
        </is>
      </c>
      <c r="I20" s="21" t="inlineStr">
        <is>
          <t>확정</t>
        </is>
      </c>
      <c r="J20" s="21" t="inlineStr">
        <is>
          <t>단가 미확인</t>
        </is>
      </c>
    </row>
    <row r="21" ht="29.25" customHeight="1" s="16">
      <c r="A21" s="20" t="n">
        <v>17</v>
      </c>
      <c r="B21" s="21" t="inlineStr">
        <is>
          <t>M3 볼트</t>
        </is>
      </c>
      <c r="C21" s="20" t="inlineStr">
        <is>
          <t>M3×30</t>
        </is>
      </c>
      <c r="D21" s="20" t="n">
        <v>6</v>
      </c>
      <c r="E21" s="21" t="inlineStr">
        <is>
          <t>개</t>
        </is>
      </c>
      <c r="F21" s="22" t="n"/>
      <c r="G21" s="23">
        <f>D21*F21</f>
        <v/>
      </c>
      <c r="H21" s="21" t="inlineStr">
        <is>
          <t>러그 (자가탭, 끝이 레일을 누름)</t>
        </is>
      </c>
      <c r="I21" s="21" t="inlineStr">
        <is>
          <t>확정</t>
        </is>
      </c>
      <c r="J21" s="21" t="inlineStr">
        <is>
          <t>단가 미확인</t>
        </is>
      </c>
    </row>
    <row r="22" ht="29.25" customHeight="1" s="16">
      <c r="A22" s="20" t="n">
        <v>18</v>
      </c>
      <c r="B22" s="21" t="inlineStr">
        <is>
          <t>M3 볼트</t>
        </is>
      </c>
      <c r="C22" s="20" t="inlineStr">
        <is>
          <t>M3×12</t>
        </is>
      </c>
      <c r="D22" s="20" t="n">
        <v>37</v>
      </c>
      <c r="E22" s="21" t="inlineStr">
        <is>
          <t>개</t>
        </is>
      </c>
      <c r="F22" s="22" t="n"/>
      <c r="G22" s="23">
        <f>D22*F22</f>
        <v/>
      </c>
      <c r="H22" s="21" t="inlineStr">
        <is>
          <t>칼라 7, 디텐트 3, 클러치 덮개 7, 축 끝 덮개 4, 바퀴 덮개 2, 아크릴 14</t>
        </is>
      </c>
      <c r="I22" s="21" t="inlineStr">
        <is>
          <t>확정</t>
        </is>
      </c>
      <c r="J22" s="21" t="inlineStr">
        <is>
          <t>모두 자가탭 · 아크릴에는 M3 와셔</t>
        </is>
      </c>
    </row>
    <row r="23" ht="29.25" customHeight="1" s="16">
      <c r="A23" s="20" t="n">
        <v>19</v>
      </c>
      <c r="B23" s="21" t="inlineStr">
        <is>
          <t>M3 볼트</t>
        </is>
      </c>
      <c r="C23" s="20" t="inlineStr">
        <is>
          <t>M3×16</t>
        </is>
      </c>
      <c r="D23" s="20" t="n">
        <v>2</v>
      </c>
      <c r="E23" s="21" t="inlineStr">
        <is>
          <t>개</t>
        </is>
      </c>
      <c r="F23" s="22" t="n"/>
      <c r="G23" s="23">
        <f>D23*F23</f>
        <v/>
      </c>
      <c r="H23" s="21" t="inlineStr">
        <is>
          <t>바퀴 덮개 아래 받침</t>
        </is>
      </c>
      <c r="I23" s="21" t="inlineStr">
        <is>
          <t>확정</t>
        </is>
      </c>
      <c r="J23" s="21" t="inlineStr">
        <is>
          <t>단가 미확인</t>
        </is>
      </c>
    </row>
    <row r="24" ht="29.25" customHeight="1" s="16">
      <c r="A24" s="20" t="n">
        <v>20</v>
      </c>
      <c r="B24" s="21" t="inlineStr">
        <is>
          <t>M3 볼트</t>
        </is>
      </c>
      <c r="C24" s="20" t="inlineStr">
        <is>
          <t>M3×50</t>
        </is>
      </c>
      <c r="D24" s="20" t="n">
        <v>4</v>
      </c>
      <c r="E24" s="21" t="inlineStr">
        <is>
          <t>개</t>
        </is>
      </c>
      <c r="F24" s="22" t="n"/>
      <c r="G24" s="23">
        <f>D24*F24</f>
        <v/>
      </c>
      <c r="H24" s="21" t="inlineStr">
        <is>
          <t>끝 채움판 → 끝판</t>
        </is>
      </c>
      <c r="I24" s="21" t="inlineStr">
        <is>
          <t>확정</t>
        </is>
      </c>
      <c r="J24" s="21" t="inlineStr">
        <is>
          <t>단가 미확인</t>
        </is>
      </c>
    </row>
    <row r="25" ht="29.25" customHeight="1" s="16">
      <c r="A25" s="20" t="n">
        <v>21</v>
      </c>
      <c r="B25" s="21" t="inlineStr">
        <is>
          <t>M3 볼트</t>
        </is>
      </c>
      <c r="C25" s="20" t="inlineStr">
        <is>
          <t>M3×8 6개 + M3×10 1개</t>
        </is>
      </c>
      <c r="D25" s="20" t="n">
        <v>7</v>
      </c>
      <c r="E25" s="21" t="inlineStr">
        <is>
          <t>개</t>
        </is>
      </c>
      <c r="F25" s="22" t="n"/>
      <c r="G25" s="23">
        <f>D25*F25</f>
        <v/>
      </c>
      <c r="H25" s="21" t="inlineStr">
        <is>
          <t>포크 카트리지 뚜껑 6, 클러치 포크 속선 누름 1</t>
        </is>
      </c>
      <c r="I25" s="21" t="inlineStr">
        <is>
          <t>확정</t>
        </is>
      </c>
      <c r="J25" s="21" t="inlineStr">
        <is>
          <t>단가 미확인</t>
        </is>
      </c>
    </row>
    <row r="26" ht="29.25" customHeight="1" s="16">
      <c r="A26" s="20" t="n">
        <v>22</v>
      </c>
      <c r="B26" s="21" t="inlineStr">
        <is>
          <t>M3 무두볼트</t>
        </is>
      </c>
      <c r="C26" s="20" t="inlineStr">
        <is>
          <t>M3×8</t>
        </is>
      </c>
      <c r="D26" s="20" t="n">
        <v>1</v>
      </c>
      <c r="E26" s="21" t="inlineStr">
        <is>
          <t>개</t>
        </is>
      </c>
      <c r="F26" s="22" t="n"/>
      <c r="G26" s="23">
        <f>D26*F26</f>
        <v/>
      </c>
      <c r="H26" s="21" t="inlineStr">
        <is>
          <t>표시 바퀴 고정</t>
        </is>
      </c>
      <c r="I26" s="21" t="inlineStr">
        <is>
          <t>확정</t>
        </is>
      </c>
      <c r="J26" s="21" t="inlineStr">
        <is>
          <t>단가 미확인</t>
        </is>
      </c>
    </row>
    <row r="27" ht="29.25" customHeight="1" s="16">
      <c r="A27" s="20" t="n">
        <v>23</v>
      </c>
      <c r="B27" s="21" t="inlineStr">
        <is>
          <t>M3 평와셔</t>
        </is>
      </c>
      <c r="C27" s="20" t="inlineStr">
        <is>
          <t>M3 (바깥지름 7 내외)</t>
        </is>
      </c>
      <c r="D27" s="20" t="n">
        <v>14</v>
      </c>
      <c r="E27" s="21" t="inlineStr">
        <is>
          <t>개</t>
        </is>
      </c>
      <c r="F27" s="22" t="n"/>
      <c r="G27" s="23">
        <f>D27*F27</f>
        <v/>
      </c>
      <c r="H27" s="21" t="inlineStr">
        <is>
          <t>아크릴 고정 나사 밑 (아크릴 균열 방지)</t>
        </is>
      </c>
      <c r="I27" s="21" t="inlineStr">
        <is>
          <t>확정</t>
        </is>
      </c>
      <c r="J27" s="21" t="inlineStr">
        <is>
          <t>볼트너트 세트에 있으면 생략</t>
        </is>
      </c>
    </row>
    <row r="28" ht="29.25" customHeight="1" s="16">
      <c r="A28" s="20" t="n">
        <v>24</v>
      </c>
      <c r="B28" s="21" t="inlineStr">
        <is>
          <t>M4 볼트 + 너트</t>
        </is>
      </c>
      <c r="C28" s="20" t="inlineStr">
        <is>
          <t>M4×30</t>
        </is>
      </c>
      <c r="D28" s="20" t="n">
        <v>20</v>
      </c>
      <c r="E28" s="21" t="inlineStr">
        <is>
          <t>세트</t>
        </is>
      </c>
      <c r="F28" s="22" t="n"/>
      <c r="G28" s="23">
        <f>D28*F28</f>
        <v/>
      </c>
      <c r="H28" s="21" t="inlineStr">
        <is>
          <t>케이지 4, 피벗 8, 게이트 4, 받침 브래킷 4</t>
        </is>
      </c>
      <c r="I28" s="21" t="inlineStr">
        <is>
          <t>확정</t>
        </is>
      </c>
      <c r="J28" s="21" t="inlineStr">
        <is>
          <t>단가 미확인</t>
        </is>
      </c>
    </row>
    <row r="29" ht="29.25" customHeight="1" s="16">
      <c r="A29" s="20" t="n">
        <v>25</v>
      </c>
      <c r="B29" s="21" t="inlineStr">
        <is>
          <t>M4 볼트 + 너트</t>
        </is>
      </c>
      <c r="C29" s="20" t="inlineStr">
        <is>
          <t>M4×16</t>
        </is>
      </c>
      <c r="D29" s="20" t="n">
        <v>8</v>
      </c>
      <c r="E29" s="21" t="inlineStr">
        <is>
          <t>세트</t>
        </is>
      </c>
      <c r="F29" s="22" t="n"/>
      <c r="G29" s="23">
        <f>D29*F29</f>
        <v/>
      </c>
      <c r="H29" s="21" t="inlineStr">
        <is>
          <t>클러치 포크 브래킷 4, 페달 발판 4</t>
        </is>
      </c>
      <c r="I29" s="21" t="inlineStr">
        <is>
          <t>확정</t>
        </is>
      </c>
      <c r="J29" s="21" t="inlineStr">
        <is>
          <t>단가 미확인</t>
        </is>
      </c>
    </row>
    <row r="30" ht="29.25" customHeight="1" s="16">
      <c r="A30" s="20" t="n">
        <v>26</v>
      </c>
      <c r="B30" s="21" t="inlineStr">
        <is>
          <t>M4 볼트 + 너트</t>
        </is>
      </c>
      <c r="C30" s="20" t="inlineStr">
        <is>
          <t>M4×60</t>
        </is>
      </c>
      <c r="D30" s="20" t="n">
        <v>3</v>
      </c>
      <c r="E30" s="21" t="inlineStr">
        <is>
          <t>세트</t>
        </is>
      </c>
      <c r="F30" s="22" t="n"/>
      <c r="G30" s="23">
        <f>D30*F30</f>
        <v/>
      </c>
      <c r="H30" s="21" t="inlineStr">
        <is>
          <t>클러치 기둥</t>
        </is>
      </c>
      <c r="I30" s="21" t="inlineStr">
        <is>
          <t>확정</t>
        </is>
      </c>
      <c r="J30" s="21" t="inlineStr">
        <is>
          <t>단가 미확인</t>
        </is>
      </c>
    </row>
    <row r="31" ht="29.25" customHeight="1" s="16">
      <c r="A31" s="20" t="n">
        <v>27</v>
      </c>
      <c r="B31" s="21" t="inlineStr">
        <is>
          <t>M5 볼트 + 너트</t>
        </is>
      </c>
      <c r="C31" s="20" t="inlineStr">
        <is>
          <t>M5×10</t>
        </is>
      </c>
      <c r="D31" s="20" t="n">
        <v>3</v>
      </c>
      <c r="E31" s="21" t="inlineStr">
        <is>
          <t>세트</t>
        </is>
      </c>
      <c r="F31" s="22" t="n"/>
      <c r="G31" s="23">
        <f>D31*F31</f>
        <v/>
      </c>
      <c r="H31" s="21" t="inlineStr">
        <is>
          <t>클러치 조절나사 (끝까지 조임 = 설정)</t>
        </is>
      </c>
      <c r="I31" s="21" t="inlineStr">
        <is>
          <t>확정</t>
        </is>
      </c>
      <c r="J31" s="21" t="inlineStr">
        <is>
          <t>M5×12 이상 금지 (미끄럼 토크가 1.05N·m 까지 올라가 기어 설계 하중 초과)</t>
        </is>
      </c>
    </row>
    <row r="32" ht="29.25" customHeight="1" s="16">
      <c r="A32" s="20" t="n">
        <v>28</v>
      </c>
      <c r="B32" s="21" t="inlineStr">
        <is>
          <t>M5 볼트 + 너트</t>
        </is>
      </c>
      <c r="C32" s="20" t="inlineStr">
        <is>
          <t>M5×20</t>
        </is>
      </c>
      <c r="D32" s="20" t="n">
        <v>3</v>
      </c>
      <c r="E32" s="21" t="inlineStr">
        <is>
          <t>세트</t>
        </is>
      </c>
      <c r="F32" s="22" t="n"/>
      <c r="G32" s="23">
        <f>D32*F32</f>
        <v/>
      </c>
      <c r="H32" s="21" t="inlineStr">
        <is>
          <t>클러치 릴리스 누름 볼트</t>
        </is>
      </c>
      <c r="I32" s="21" t="inlineStr">
        <is>
          <t>확정</t>
        </is>
      </c>
      <c r="J32" s="21" t="inlineStr">
        <is>
          <t>단가 미확인</t>
        </is>
      </c>
    </row>
    <row r="33" ht="29.25" customHeight="1" s="16">
      <c r="A33" s="20" t="n">
        <v>29</v>
      </c>
      <c r="B33" s="21" t="inlineStr">
        <is>
          <t>M5 볼트 + 나일론 너트</t>
        </is>
      </c>
      <c r="C33" s="20" t="inlineStr">
        <is>
          <t>M5×35</t>
        </is>
      </c>
      <c r="D33" s="20" t="n">
        <v>1</v>
      </c>
      <c r="E33" s="21" t="inlineStr">
        <is>
          <t>세트</t>
        </is>
      </c>
      <c r="F33" s="22" t="n"/>
      <c r="G33" s="23">
        <f>D33*F33</f>
        <v/>
      </c>
      <c r="H33" s="21" t="inlineStr">
        <is>
          <t>클러치 포크 피벗</t>
        </is>
      </c>
      <c r="I33" s="21" t="inlineStr">
        <is>
          <t>확정</t>
        </is>
      </c>
      <c r="J33" s="21" t="inlineStr">
        <is>
          <t>단가 미확인</t>
        </is>
      </c>
    </row>
    <row r="34" ht="29.25" customHeight="1" s="16">
      <c r="A34" s="20" t="n">
        <v>30</v>
      </c>
      <c r="B34" s="21" t="inlineStr">
        <is>
          <t>M6 볼트·너트</t>
        </is>
      </c>
      <c r="C34" s="20" t="inlineStr">
        <is>
          <t>M6×50 10개 + 너트 10개</t>
        </is>
      </c>
      <c r="D34" s="20" t="n">
        <v>1</v>
      </c>
      <c r="E34" s="21" t="inlineStr">
        <is>
          <t>세트</t>
        </is>
      </c>
      <c r="F34" s="22" t="n">
        <v>4500</v>
      </c>
      <c r="G34" s="23">
        <f>D34*F34</f>
        <v/>
      </c>
      <c r="H34" s="21" t="inlineStr">
        <is>
          <t>페달 힌지 2 (남는 너트 4개는 모터 받침에 씀)</t>
        </is>
      </c>
      <c r="I34" s="21" t="inlineStr">
        <is>
          <t>확정</t>
        </is>
      </c>
      <c r="J34" s="21" t="inlineStr">
        <is>
          <t>v3 단가 · 쿠팡 /9679379731</t>
        </is>
      </c>
    </row>
    <row r="35" ht="29.25" customHeight="1" s="16">
      <c r="A35" s="20" t="n">
        <v>31</v>
      </c>
      <c r="B35" s="21" t="inlineStr">
        <is>
          <t>M6 볼트</t>
        </is>
      </c>
      <c r="C35" s="20" t="inlineStr">
        <is>
          <t>M6×25</t>
        </is>
      </c>
      <c r="D35" s="20" t="n">
        <v>4</v>
      </c>
      <c r="E35" s="21" t="inlineStr">
        <is>
          <t>개</t>
        </is>
      </c>
      <c r="F35" s="22" t="n"/>
      <c r="G35" s="23">
        <f>D35*F35</f>
        <v/>
      </c>
      <c r="H35" s="21" t="inlineStr">
        <is>
          <t>모터 받침: K9B 브래킷 바닥 → 45 받침대 밑면 너트</t>
        </is>
      </c>
      <c r="I35" s="21" t="inlineStr">
        <is>
          <t>확정</t>
        </is>
      </c>
      <c r="J35" s="21" t="inlineStr">
        <is>
          <t>M6×30 이상 금지 (MDF 에 닿음) · 단가 미확인</t>
        </is>
      </c>
    </row>
    <row r="36" ht="29.25" customHeight="1" s="16">
      <c r="A36" s="20" t="n">
        <v>32</v>
      </c>
      <c r="B36" s="21" t="inlineStr">
        <is>
          <t>목재 나사</t>
        </is>
      </c>
      <c r="C36" s="20" t="inlineStr">
        <is>
          <t>4×20</t>
        </is>
      </c>
      <c r="D36" s="20" t="n">
        <v>24</v>
      </c>
      <c r="E36" s="21" t="inlineStr">
        <is>
          <t>개</t>
        </is>
      </c>
      <c r="F36" s="22" t="n"/>
      <c r="G36" s="23">
        <f>D36*F36</f>
        <v/>
      </c>
      <c r="H36" s="21" t="inlineStr">
        <is>
          <t>받침 브래킷 8, 클러치 덮개 4, 모터 받침 4, 페달 받침 8</t>
        </is>
      </c>
      <c r="I36" s="21" t="inlineStr">
        <is>
          <t>확정</t>
        </is>
      </c>
      <c r="J36" s="21" t="inlineStr">
        <is>
          <t>단가 미확인</t>
        </is>
      </c>
    </row>
    <row r="37" ht="29.25" customHeight="1" s="16">
      <c r="A37" s="20" t="n">
        <v>33</v>
      </c>
      <c r="B37" s="21" t="inlineStr">
        <is>
          <t>에폭시 접착제</t>
        </is>
      </c>
      <c r="C37" s="20" t="inlineStr">
        <is>
          <t>2액형</t>
        </is>
      </c>
      <c r="D37" s="20" t="n">
        <v>1</v>
      </c>
      <c r="E37" s="21" t="inlineStr">
        <is>
          <t>개</t>
        </is>
      </c>
      <c r="F37" s="22" t="n"/>
      <c r="G37" s="23">
        <f>D37*F37</f>
        <v/>
      </c>
      <c r="H37" s="21" t="inlineStr">
        <is>
          <t>레버봉-핑거·손잡이, 아이들러 축, 클러치 와셔-허브, 고무 쿠션</t>
        </is>
      </c>
      <c r="I37" s="21" t="inlineStr">
        <is>
          <t>확정</t>
        </is>
      </c>
      <c r="J37" s="21" t="inlineStr">
        <is>
          <t>단가 미확인</t>
        </is>
      </c>
    </row>
    <row r="38" ht="29.25" customHeight="1" s="16">
      <c r="A38" s="20" t="n">
        <v>34</v>
      </c>
      <c r="B38" s="21" t="inlineStr">
        <is>
          <t>순간접착제</t>
        </is>
      </c>
      <c r="C38" s="20" t="inlineStr">
        <is>
          <t>일반</t>
        </is>
      </c>
      <c r="D38" s="20" t="n">
        <v>1</v>
      </c>
      <c r="E38" s="21" t="inlineStr">
        <is>
          <t>개</t>
        </is>
      </c>
      <c r="F38" s="22" t="n"/>
      <c r="G38" s="23">
        <f>D38*F38</f>
        <v/>
      </c>
      <c r="H38" s="21" t="inlineStr">
        <is>
          <t>덮개 스위치, 홀센서, 자석</t>
        </is>
      </c>
      <c r="I38" s="21" t="inlineStr">
        <is>
          <t>확정</t>
        </is>
      </c>
      <c r="J38" s="21" t="inlineStr">
        <is>
          <t>보유하면 생략</t>
        </is>
      </c>
    </row>
    <row r="39" ht="29.25" customHeight="1" s="16">
      <c r="A39" s="20" t="n">
        <v>35</v>
      </c>
      <c r="B39" s="21" t="inlineStr">
        <is>
          <t>자전거 브레이크 케이블 세트</t>
        </is>
      </c>
      <c r="C39" s="20" t="inlineStr">
        <is>
          <t>속선 + 아우터(바깥지름 5 내외)</t>
        </is>
      </c>
      <c r="D39" s="20" t="n">
        <v>1</v>
      </c>
      <c r="E39" s="21" t="inlineStr">
        <is>
          <t>세트</t>
        </is>
      </c>
      <c r="F39" s="22" t="n"/>
      <c r="G39" s="23">
        <f>D39*F39</f>
        <v/>
      </c>
      <c r="H39" s="21" t="inlineStr">
        <is>
          <t>클러치 페달 → 클러치 포크</t>
        </is>
      </c>
      <c r="I39" s="21" t="inlineStr">
        <is>
          <t>확정</t>
        </is>
      </c>
      <c r="J39" s="21" t="inlineStr">
        <is>
          <t>아우터가 끝판 B 구멍 Ø6 에 들어가야 함</t>
        </is>
      </c>
    </row>
    <row r="40" ht="29.25" customHeight="1" s="16">
      <c r="A40" s="20" t="n">
        <v>36</v>
      </c>
      <c r="B40" s="21" t="inlineStr">
        <is>
          <t>인장 스프링</t>
        </is>
      </c>
      <c r="C40" s="20" t="inlineStr">
        <is>
          <t>선경 1.0 외경 7, 1m</t>
        </is>
      </c>
      <c r="D40" s="20" t="n">
        <v>1</v>
      </c>
      <c r="E40" s="21" t="inlineStr">
        <is>
          <t>개</t>
        </is>
      </c>
      <c r="F40" s="22" t="n">
        <v>8000</v>
      </c>
      <c r="G40" s="23">
        <f>D40*F40</f>
        <v/>
      </c>
      <c r="H40" s="21" t="inlineStr">
        <is>
          <t>페달 복귀 (잘라 고리 만듦)</t>
        </is>
      </c>
      <c r="I40" s="21" t="inlineStr">
        <is>
          <t>확정</t>
        </is>
      </c>
      <c r="J40" s="21" t="inlineStr">
        <is>
          <t>v3 단가 · 쿠팡 /7939346368</t>
        </is>
      </c>
    </row>
    <row r="41" ht="29.25" customHeight="1" s="16">
      <c r="A41" s="20" t="n">
        <v>37</v>
      </c>
      <c r="B41" s="21" t="inlineStr">
        <is>
          <t>MDF 판</t>
        </is>
      </c>
      <c r="C41" s="20" t="inlineStr">
        <is>
          <t>12T 300×1200 재단</t>
        </is>
      </c>
      <c r="D41" s="20" t="n">
        <v>1</v>
      </c>
      <c r="E41" s="21" t="inlineStr">
        <is>
          <t>장</t>
        </is>
      </c>
      <c r="F41" s="22" t="n">
        <v>9600</v>
      </c>
      <c r="G41" s="23">
        <f>D41*F41</f>
        <v/>
      </c>
      <c r="H41" s="21" t="inlineStr">
        <is>
          <t>바닥판 750×300 (모터·클러치 덮개 포함)</t>
        </is>
      </c>
      <c r="I41" s="21" t="inlineStr">
        <is>
          <t>확정</t>
        </is>
      </c>
      <c r="J41" s="21" t="inlineStr">
        <is>
          <t>v3 단가 · 쿠팡 /71452005</t>
        </is>
      </c>
    </row>
    <row r="42" ht="29.25" customHeight="1" s="16">
      <c r="A42" s="20" t="n">
        <v>38</v>
      </c>
      <c r="B42" s="21" t="inlineStr">
        <is>
          <t>투명 아크릴</t>
        </is>
      </c>
      <c r="C42" s="20" t="inlineStr">
        <is>
          <t>A3 3T</t>
        </is>
      </c>
      <c r="D42" s="20" t="n">
        <v>3</v>
      </c>
      <c r="E42" s="21" t="inlineStr">
        <is>
          <t>장</t>
        </is>
      </c>
      <c r="F42" s="22" t="n">
        <v>9000</v>
      </c>
      <c r="G42" s="23">
        <f>D42*F42</f>
        <v/>
      </c>
      <c r="H42" s="21" t="inlineStr">
        <is>
          <t>덮개 윗판 250×321, 옆판 200×321 × 2</t>
        </is>
      </c>
      <c r="I42" s="21" t="inlineStr">
        <is>
          <t>확정</t>
        </is>
      </c>
      <c r="J42" s="21" t="inlineStr">
        <is>
          <t>v3 단가 · 쿠팡 /9593337115 · 재단 주문 가능하면 치수대로</t>
        </is>
      </c>
    </row>
    <row r="43" ht="29.25" customHeight="1" s="16">
      <c r="A43" s="20" t="n">
        <v>39</v>
      </c>
      <c r="B43" s="21" t="inlineStr">
        <is>
          <t>아두이노 레오나르도 R3 + 케이블</t>
        </is>
      </c>
      <c r="C43" s="20" t="inlineStr">
        <is>
          <t>ATmega32u4</t>
        </is>
      </c>
      <c r="D43" s="20" t="n">
        <v>1</v>
      </c>
      <c r="E43" s="21" t="inlineStr">
        <is>
          <t>개</t>
        </is>
      </c>
      <c r="F43" s="22" t="n">
        <v>9200</v>
      </c>
      <c r="G43" s="23">
        <f>D43*F43</f>
        <v/>
      </c>
      <c r="H43" s="21" t="inlineStr">
        <is>
          <t>센서 → PC 게임 입력 + 모터 허가 출력</t>
        </is>
      </c>
      <c r="I43" s="21" t="inlineStr">
        <is>
          <t>확정</t>
        </is>
      </c>
      <c r="J43" s="21" t="inlineStr">
        <is>
          <t>v3 단가 · 쿠팡 /1119152790</t>
        </is>
      </c>
    </row>
    <row r="44" ht="29.25" customHeight="1" s="16">
      <c r="A44" s="20" t="n">
        <v>40</v>
      </c>
      <c r="B44" s="21" t="inlineStr">
        <is>
          <t>홀센서 A3144</t>
        </is>
      </c>
      <c r="C44" s="20" t="inlineStr">
        <is>
          <t>3핀 소자</t>
        </is>
      </c>
      <c r="D44" s="20" t="n">
        <v>7</v>
      </c>
      <c r="E44" s="21" t="inlineStr">
        <is>
          <t>개</t>
        </is>
      </c>
      <c r="F44" s="22" t="n">
        <v>90</v>
      </c>
      <c r="G44" s="23">
        <f>D44*F44</f>
        <v/>
      </c>
      <c r="H44" s="21" t="inlineStr">
        <is>
          <t>기어 위치 6 + 출력 rpm 1</t>
        </is>
      </c>
      <c r="I44" s="21" t="inlineStr">
        <is>
          <t>확정</t>
        </is>
      </c>
      <c r="J44" s="21" t="inlineStr">
        <is>
          <t>v3 단가 · 쿠팡 /8520223332</t>
        </is>
      </c>
    </row>
    <row r="45" ht="29.25" customHeight="1" s="16">
      <c r="A45" s="20" t="n">
        <v>41</v>
      </c>
      <c r="B45" s="21" t="inlineStr">
        <is>
          <t>네오디뮴 자석</t>
        </is>
      </c>
      <c r="C45" s="20" t="inlineStr">
        <is>
          <t>Ø6×3mm 40개</t>
        </is>
      </c>
      <c r="D45" s="20" t="n">
        <v>1</v>
      </c>
      <c r="E45" s="21" t="inlineStr">
        <is>
          <t>봉</t>
        </is>
      </c>
      <c r="F45" s="22" t="n">
        <v>11300</v>
      </c>
      <c r="G45" s="23">
        <f>D45*F45</f>
        <v/>
      </c>
      <c r="H45" s="21" t="inlineStr">
        <is>
          <t>러그 3 + 표시 바퀴 4</t>
        </is>
      </c>
      <c r="I45" s="21" t="inlineStr">
        <is>
          <t>확정</t>
        </is>
      </c>
      <c r="J45" s="21" t="inlineStr">
        <is>
          <t>v3 단가 · 쿠팡 /7119515778</t>
        </is>
      </c>
    </row>
    <row r="46" ht="29.25" customHeight="1" s="16">
      <c r="A46" s="20" t="n">
        <v>42</v>
      </c>
      <c r="B46" s="21" t="inlineStr">
        <is>
          <t>가변저항 B10K</t>
        </is>
      </c>
      <c r="C46" s="20" t="inlineStr">
        <is>
          <t>노브 포함</t>
        </is>
      </c>
      <c r="D46" s="20" t="n">
        <v>3</v>
      </c>
      <c r="E46" s="21" t="inlineStr">
        <is>
          <t>개</t>
        </is>
      </c>
      <c r="F46" s="22" t="n">
        <v>500</v>
      </c>
      <c r="G46" s="23">
        <f>D46*F46</f>
        <v/>
      </c>
      <c r="H46" s="21" t="inlineStr">
        <is>
          <t>핸들·클러치·브레이크</t>
        </is>
      </c>
      <c r="I46" s="21" t="inlineStr">
        <is>
          <t>확정</t>
        </is>
      </c>
      <c r="J46" s="21" t="inlineStr">
        <is>
          <t>v3 단가 · 축 지름·반달 치수 미확인 (페달 팔 구멍 Ø6.1, 평면 4.6)</t>
        </is>
      </c>
    </row>
    <row r="47" ht="29.25" customHeight="1" s="16">
      <c r="A47" s="20" t="n">
        <v>43</v>
      </c>
      <c r="B47" s="21" t="inlineStr">
        <is>
          <t>마이크로스위치</t>
        </is>
      </c>
      <c r="C47" s="20" t="inlineStr">
        <is>
          <t>KW-11-3Z 레버형</t>
        </is>
      </c>
      <c r="D47" s="20" t="n">
        <v>2</v>
      </c>
      <c r="E47" s="21" t="inlineStr">
        <is>
          <t>개</t>
        </is>
      </c>
      <c r="F47" s="22" t="n">
        <v>400</v>
      </c>
      <c r="G47" s="23">
        <f>D47*F47</f>
        <v/>
      </c>
      <c r="H47" s="21" t="inlineStr">
        <is>
          <t>덮개 열림 감지 1 + 여분 1</t>
        </is>
      </c>
      <c r="I47" s="21" t="inlineStr">
        <is>
          <t>확정</t>
        </is>
      </c>
      <c r="J47" s="21" t="inlineStr">
        <is>
          <t>v3 단가 · 쿠팡 /9167678186</t>
        </is>
      </c>
    </row>
    <row r="48" ht="29.25" customHeight="1" s="16">
      <c r="A48" s="20" t="n">
        <v>44</v>
      </c>
      <c r="B48" s="21" t="inlineStr">
        <is>
          <t>점퍼 케이블</t>
        </is>
      </c>
      <c r="C48" s="20" t="inlineStr">
        <is>
          <t>M-F 40P 40cm</t>
        </is>
      </c>
      <c r="D48" s="20" t="n">
        <v>1</v>
      </c>
      <c r="E48" s="21" t="inlineStr">
        <is>
          <t>개</t>
        </is>
      </c>
      <c r="F48" s="22" t="n">
        <v>5300</v>
      </c>
      <c r="G48" s="23">
        <f>D48*F48</f>
        <v/>
      </c>
      <c r="H48" s="21" t="inlineStr">
        <is>
          <t>센서 배선</t>
        </is>
      </c>
      <c r="I48" s="21" t="inlineStr">
        <is>
          <t>확정</t>
        </is>
      </c>
      <c r="J48" s="21" t="inlineStr">
        <is>
          <t>v3 단가 · 쿠팡 /9699042565</t>
        </is>
      </c>
    </row>
    <row r="49" ht="29.25" customHeight="1" s="16">
      <c r="A49" s="20" t="n">
        <v>45</v>
      </c>
      <c r="B49" s="21" t="inlineStr">
        <is>
          <t>만능기판</t>
        </is>
      </c>
      <c r="C49" s="20" t="inlineStr">
        <is>
          <t>20개 묶음</t>
        </is>
      </c>
      <c r="D49" s="20" t="n">
        <v>1</v>
      </c>
      <c r="E49" s="21" t="inlineStr">
        <is>
          <t>봉</t>
        </is>
      </c>
      <c r="F49" s="22" t="n">
        <v>15000</v>
      </c>
      <c r="G49" s="23">
        <f>D49*F49</f>
        <v/>
      </c>
      <c r="H49" s="21" t="inlineStr">
        <is>
          <t>센서 배선</t>
        </is>
      </c>
      <c r="I49" s="21" t="inlineStr">
        <is>
          <t>확정</t>
        </is>
      </c>
      <c r="J49" s="21" t="inlineStr">
        <is>
          <t>v3 단가 · 쿠팡 /9661304796</t>
        </is>
      </c>
    </row>
    <row r="50" ht="29.25" customHeight="1" s="16">
      <c r="A50" s="20" t="n">
        <v>46</v>
      </c>
      <c r="B50" s="21" t="inlineStr">
        <is>
          <t>자동차 릴레이 + 소켓</t>
        </is>
      </c>
      <c r="C50" s="20" t="inlineStr">
        <is>
          <t>12V, 접점 40A, 4핀</t>
        </is>
      </c>
      <c r="D50" s="20" t="n">
        <v>1</v>
      </c>
      <c r="E50" s="21" t="inlineStr">
        <is>
          <t>개</t>
        </is>
      </c>
      <c r="F50" s="22" t="n"/>
      <c r="G50" s="23">
        <f>D50*F50</f>
        <v/>
      </c>
      <c r="H50" s="21" t="inlineStr">
        <is>
          <t>모터 전원 주 스위치</t>
        </is>
      </c>
      <c r="I50" s="21" t="inlineStr">
        <is>
          <t>확정</t>
        </is>
      </c>
      <c r="J50" s="21" t="inlineStr">
        <is>
          <t>검색어 "12V 40A 릴레이 소켓" · 코일 회로에 비상정지·덮개 스위치·5V 릴레이 모듈 직렬</t>
        </is>
      </c>
    </row>
    <row r="51" ht="29.25" customHeight="1" s="16">
      <c r="A51" s="20" t="n">
        <v>47</v>
      </c>
      <c r="B51" s="21" t="inlineStr">
        <is>
          <t>블레이드 퓨즈 + 인라인 홀더</t>
        </is>
      </c>
      <c r="C51" s="20" t="inlineStr">
        <is>
          <t>15A</t>
        </is>
      </c>
      <c r="D51" s="20" t="n">
        <v>1</v>
      </c>
      <c r="E51" s="21" t="inlineStr">
        <is>
          <t>세트</t>
        </is>
      </c>
      <c r="F51" s="22" t="n"/>
      <c r="G51" s="23">
        <f>D51*F51</f>
        <v/>
      </c>
      <c r="H51" s="21" t="inlineStr">
        <is>
          <t>배터리 + 단자 바로 옆</t>
        </is>
      </c>
      <c r="I51" s="21" t="inlineStr">
        <is>
          <t>확정</t>
        </is>
      </c>
      <c r="J51" s="21" t="inlineStr">
        <is>
          <t>여분 퓨즈 2개 권장</t>
        </is>
      </c>
    </row>
    <row r="52" ht="29.25" customHeight="1" s="16">
      <c r="A52" s="20" t="n">
        <v>48</v>
      </c>
      <c r="B52" s="21" t="inlineStr">
        <is>
          <t>비상정지 스위치</t>
        </is>
      </c>
      <c r="C52" s="20" t="inlineStr">
        <is>
          <t>버섯형, b접점(NC)</t>
        </is>
      </c>
      <c r="D52" s="20" t="n">
        <v>1</v>
      </c>
      <c r="E52" s="21" t="inlineStr">
        <is>
          <t>개</t>
        </is>
      </c>
      <c r="F52" s="22" t="n"/>
      <c r="G52" s="23">
        <f>D52*F52</f>
        <v/>
      </c>
      <c r="H52" s="21" t="inlineStr">
        <is>
          <t>운영자 비상 차단 (릴레이 코일 회로)</t>
        </is>
      </c>
      <c r="I52" s="21" t="inlineStr">
        <is>
          <t>확정</t>
        </is>
      </c>
      <c r="J52" s="21" t="inlineStr">
        <is>
          <t>단가 미확인</t>
        </is>
      </c>
    </row>
    <row r="53" ht="29.25" customHeight="1" s="16">
      <c r="A53" s="20" t="n">
        <v>49</v>
      </c>
      <c r="B53" s="21" t="inlineStr">
        <is>
          <t>5V 릴레이 모듈</t>
        </is>
      </c>
      <c r="C53" s="20" t="inlineStr">
        <is>
          <t>1채널</t>
        </is>
      </c>
      <c r="D53" s="20" t="n">
        <v>1</v>
      </c>
      <c r="E53" s="21" t="inlineStr">
        <is>
          <t>개</t>
        </is>
      </c>
      <c r="F53" s="22" t="n"/>
      <c r="G53" s="23">
        <f>D53*F53</f>
        <v/>
      </c>
      <c r="H53" s="21" t="inlineStr">
        <is>
          <t>아두이노 워치독 → 주 릴레이 코일 차단</t>
        </is>
      </c>
      <c r="I53" s="21" t="inlineStr">
        <is>
          <t>확정</t>
        </is>
      </c>
      <c r="J53" s="21" t="inlineStr">
        <is>
          <t>로우 트리거 기준. 하이 트리거면 펌웨어 RELAY_ACTIVE_LOW=false</t>
        </is>
      </c>
    </row>
    <row r="54" ht="29.25" customHeight="1" s="16">
      <c r="A54" s="20" t="n">
        <v>50</v>
      </c>
      <c r="B54" s="21" t="inlineStr">
        <is>
          <t>다이오드 1N4007</t>
        </is>
      </c>
      <c r="C54" s="20" t="inlineStr"/>
      <c r="D54" s="20" t="n">
        <v>2</v>
      </c>
      <c r="E54" s="21" t="inlineStr">
        <is>
          <t>개</t>
        </is>
      </c>
      <c r="F54" s="22" t="n"/>
      <c r="G54" s="23">
        <f>D54*F54</f>
        <v/>
      </c>
      <c r="H54" s="21" t="inlineStr">
        <is>
          <t>주 릴레이 코일 역기전력 흡수 1 + 여분 1</t>
        </is>
      </c>
      <c r="I54" s="21" t="inlineStr">
        <is>
          <t>확정</t>
        </is>
      </c>
      <c r="J54" s="21" t="inlineStr">
        <is>
          <t>내장 다이오드 릴레이면 생략</t>
        </is>
      </c>
    </row>
    <row r="55" ht="29.25" customHeight="1" s="16">
      <c r="A55" s="20" t="n">
        <v>51</v>
      </c>
      <c r="B55" s="21" t="inlineStr">
        <is>
          <t>전선</t>
        </is>
      </c>
      <c r="C55" s="20" t="inlineStr">
        <is>
          <t>1.5mm² 이상, 적·흑 각 2m</t>
        </is>
      </c>
      <c r="D55" s="20" t="n">
        <v>1</v>
      </c>
      <c r="E55" s="21" t="inlineStr">
        <is>
          <t>세트</t>
        </is>
      </c>
      <c r="F55" s="22" t="n"/>
      <c r="G55" s="23">
        <f>D55*F55</f>
        <v/>
      </c>
      <c r="H55" s="21" t="inlineStr">
        <is>
          <t>배터리-퓨즈-릴레이-모터 드라이버</t>
        </is>
      </c>
      <c r="I55" s="21" t="inlineStr">
        <is>
          <t>확정</t>
        </is>
      </c>
      <c r="J55" s="21" t="inlineStr">
        <is>
          <t>퓨즈 15A 기준</t>
        </is>
      </c>
    </row>
    <row r="56" ht="29.25" customHeight="1" s="16">
      <c r="A56" s="20" t="n">
        <v>52</v>
      </c>
      <c r="B56" s="21" t="inlineStr">
        <is>
          <t>압착 단자 세트</t>
        </is>
      </c>
      <c r="C56" s="20" t="inlineStr">
        <is>
          <t>250 규격(6.3mm) 절연 암 평형 단자 + 수축 튜브</t>
        </is>
      </c>
      <c r="D56" s="20" t="n">
        <v>1</v>
      </c>
      <c r="E56" s="21" t="inlineStr">
        <is>
          <t>세트</t>
        </is>
      </c>
      <c r="F56" s="22" t="n"/>
      <c r="G56" s="23">
        <f>D56*F56</f>
        <v/>
      </c>
      <c r="H56" s="21" t="inlineStr">
        <is>
          <t>퓨즈 홀더·릴레이 소켓 연결 (배터리 쪽은 키트 선 단자 재사용)</t>
        </is>
      </c>
      <c r="I56" s="21" t="inlineStr">
        <is>
          <t>확정</t>
        </is>
      </c>
      <c r="J56" s="21" t="inlineStr">
        <is>
          <t>배터리 단자 = 6.3mm 평형 탭(사진 확인) · 홀더·소켓에 단자 포함이면 생략</t>
        </is>
      </c>
    </row>
    <row r="57" ht="29.25" customHeight="1" s="16">
      <c r="A57" s="20" t="n">
        <v>53</v>
      </c>
      <c r="B57" s="21" t="inlineStr">
        <is>
          <t>저항</t>
        </is>
      </c>
      <c r="C57" s="20" t="inlineStr">
        <is>
          <t>10kΩ 1개 + 4.7kΩ 1개 (1/4W)</t>
        </is>
      </c>
      <c r="D57" s="20" t="n">
        <v>1</v>
      </c>
      <c r="E57" s="21" t="inlineStr">
        <is>
          <t>세트</t>
        </is>
      </c>
      <c r="F57" s="22" t="n"/>
      <c r="G57" s="23">
        <f>D57*F57</f>
        <v/>
      </c>
      <c r="H57" s="21" t="inlineStr">
        <is>
          <t>안전 회로 감지 (비상정지·덮개 뒤 12V → 아두이노 A4)</t>
        </is>
      </c>
      <c r="I57" s="21" t="inlineStr">
        <is>
          <t>확정</t>
        </is>
      </c>
      <c r="J57" s="21" t="inlineStr">
        <is>
          <t>풀었을 때 페달을 떼야 재시동 (펌웨어)</t>
        </is>
      </c>
    </row>
    <row r="58" ht="29.25" customHeight="1" s="16">
      <c r="A58" s="20" t="n">
        <v>54</v>
      </c>
      <c r="B58" s="21" t="inlineStr">
        <is>
          <t>PLA 필라멘트</t>
        </is>
      </c>
      <c r="C58" s="20" t="inlineStr">
        <is>
          <t>2.85mm, 1kg 롤</t>
        </is>
      </c>
      <c r="D58" s="20" t="n">
        <v>4</v>
      </c>
      <c r="E58" s="21" t="inlineStr">
        <is>
          <t>롤</t>
        </is>
      </c>
      <c r="F58" s="22" t="n"/>
      <c r="G58" s="23">
        <f>D58*F58</f>
        <v/>
      </c>
      <c r="H58" s="21" t="inlineStr">
        <is>
          <t>출력 예상 4.03kg + 실패 여유 15% − 보유 750g 롤 1개</t>
        </is>
      </c>
      <c r="I58" s="21" t="inlineStr">
        <is>
          <t>확정</t>
        </is>
      </c>
      <c r="J58" s="21" t="inlineStr">
        <is>
          <t>PrusaSlicer 추정 (Cura 와 다를 수 있음) · 단가 미확인</t>
        </is>
      </c>
    </row>
    <row r="59" ht="29.25" customHeight="1" s="16">
      <c r="A59" s="20" t="n">
        <v>55</v>
      </c>
      <c r="B59" s="21" t="inlineStr">
        <is>
          <t>걸이 저울</t>
        </is>
      </c>
      <c r="C59" s="20" t="inlineStr">
        <is>
          <t>0~5kg, 10g 단위</t>
        </is>
      </c>
      <c r="D59" s="20" t="n">
        <v>1</v>
      </c>
      <c r="E59" s="21" t="inlineStr">
        <is>
          <t>개</t>
        </is>
      </c>
      <c r="F59" s="22" t="n"/>
      <c r="G59" s="23">
        <f>D59*F59</f>
        <v/>
      </c>
      <c r="H59" s="21" t="inlineStr">
        <is>
          <t>클러치 미끄럼 토크·끌림 토크 측정</t>
        </is>
      </c>
      <c r="I59" s="21" t="inlineStr">
        <is>
          <t>선택</t>
        </is>
      </c>
      <c r="J59" s="21" t="inlineStr">
        <is>
          <t>보유하면 생략</t>
        </is>
      </c>
    </row>
    <row r="60" ht="29.25" customHeight="1" s="16">
      <c r="A60" s="20" t="n">
        <v>56</v>
      </c>
      <c r="B60" s="21" t="inlineStr">
        <is>
          <t>디지털 캘리퍼스</t>
        </is>
      </c>
      <c r="C60" s="20" t="inlineStr">
        <is>
          <t>0.01mm 표시, 150mm</t>
        </is>
      </c>
      <c r="D60" s="20" t="n">
        <v>1</v>
      </c>
      <c r="E60" s="21" t="inlineStr">
        <is>
          <t>개</t>
        </is>
      </c>
      <c r="F60" s="22" t="n"/>
      <c r="G60" s="23">
        <f>D60*F60</f>
        <v/>
      </c>
      <c r="H60" s="21" t="inlineStr">
        <is>
          <t>쿠폰·핀 구멍·축 지름 확인</t>
        </is>
      </c>
      <c r="I60" s="21" t="inlineStr">
        <is>
          <t>확정</t>
        </is>
      </c>
      <c r="J60" s="21" t="inlineStr">
        <is>
          <t>보유하면 생략</t>
        </is>
      </c>
    </row>
    <row r="61" ht="29.25" customHeight="1" s="16">
      <c r="A61" s="20" t="n">
        <v>57</v>
      </c>
      <c r="B61" s="21" t="inlineStr">
        <is>
          <t>배송비</t>
        </is>
      </c>
      <c r="C61" s="20" t="inlineStr">
        <is>
          <t>새 판매처 포함</t>
        </is>
      </c>
      <c r="D61" s="20" t="n">
        <v>1</v>
      </c>
      <c r="E61" s="21" t="inlineStr">
        <is>
          <t>식</t>
        </is>
      </c>
      <c r="F61" s="22" t="n"/>
      <c r="G61" s="23">
        <f>D61*F61</f>
        <v/>
      </c>
      <c r="H61" s="21" t="n"/>
      <c r="I61" s="21" t="inlineStr">
        <is>
          <t>확정</t>
        </is>
      </c>
      <c r="J61" s="21" t="inlineStr">
        <is>
          <t>v3 는 22,900원 · 새 항목 판매처에 따라 달라짐 (미확인)</t>
        </is>
      </c>
    </row>
    <row r="62">
      <c r="B62" s="24" t="inlineStr">
        <is>
          <t>합계 (확정 항목, 단가 입력된 것만)</t>
        </is>
      </c>
      <c r="G62" s="25">
        <f>SUMIFS(G5:G61,I5:I61,"확정")</f>
        <v/>
      </c>
    </row>
    <row r="63">
      <c r="B63" s="24" t="inlineStr">
        <is>
          <t>합계 (선택 포함)</t>
        </is>
      </c>
      <c r="G63" s="25">
        <f>SUM(G5:G61)</f>
        <v/>
      </c>
    </row>
    <row r="64">
      <c r="B64" s="24" t="inlineStr">
        <is>
          <t>단가 미확인 항목 수</t>
        </is>
      </c>
      <c r="G64" s="26">
        <f>COUNTBLANK(F5:F61)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2026-10-20T10:44:37Z</dcterms:modified>
  <cp:revision>0</cp:revision>
</cp:coreProperties>
</file>