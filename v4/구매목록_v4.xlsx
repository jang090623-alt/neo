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devicemart.co.kr/goods/view?no=31671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devicemart.co.kr/goods/view?no=12506669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devicemart.co.kr/goods/view?no=10895020" TargetMode="External" Id="rId50" /><Relationship Type="http://schemas.openxmlformats.org/officeDocument/2006/relationships/hyperlink" Target="https://www.devicemart.co.kr/goods/view?no=1327543" TargetMode="External" Id="rId51" /><Relationship Type="http://schemas.openxmlformats.org/officeDocument/2006/relationships/hyperlink" Target="https://www.devicemart.co.kr/goods/view?no=301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devicemart.co.kr/goods/view?no=856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</t>
        </is>
      </c>
      <c r="D47" s="31" t="n">
        <v>10</v>
      </c>
      <c r="E47" s="32" t="inlineStr">
        <is>
          <t>개</t>
        </is>
      </c>
      <c r="F47" s="33" t="n">
        <v>220</v>
      </c>
      <c r="G47" s="34">
        <f>D47*F47</f>
        <v/>
      </c>
      <c r="H47" s="32" t="inlineStr">
        <is>
          <t>러그 3 + 표시 바퀴 4 (+여분 3)</t>
        </is>
      </c>
      <c r="I47" s="32" t="inlineStr">
        <is>
          <t>확정</t>
        </is>
      </c>
      <c r="J47" s="32" t="inlineStr">
        <is>
          <t>디바이스마트 ND 원형자석 6Ø x 3t, 최소 10개 (2026-10-20 확인) · 쿠팡 40개 봉(11,300) 대신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하프 사이즈 89×52 (브레드보드형, 양면)</t>
        </is>
      </c>
      <c r="D51" s="31" t="n">
        <v>1</v>
      </c>
      <c r="E51" s="32" t="inlineStr">
        <is>
          <t>장</t>
        </is>
      </c>
      <c r="F51" s="33" t="n">
        <v>2420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디바이스마트 일렉트로쿠키 브레드보드형 만능기판 Half (2026-10-20 확인) · 쿠팡 20장 묶음(15,000) 대신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7370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디바이스마트 KGAUTO KGE-C4R1R 25Φ 푸쉬록턴 리셋 1a1b (2026-10-20 확인) · 준비 2주 · 25mm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1채널, 로우 트리거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디바이스마트 SZH-RLBG-007 Low-Trigger (2026-10-20 확인) · 펌웨어 RELAY_ACTIVE_LOW 기본값(로우)과 맞음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10</v>
      </c>
      <c r="E56" s="32" t="inlineStr">
        <is>
          <t>개</t>
        </is>
      </c>
      <c r="F56" s="33" t="n">
        <v>22</v>
      </c>
      <c r="G56" s="34">
        <f>D56*F56</f>
        <v/>
      </c>
      <c r="H56" s="32" t="inlineStr">
        <is>
          <t>주 릴레이 코일 역기전력 흡수 1 + 여분</t>
        </is>
      </c>
      <c r="I56" s="32" t="inlineStr">
        <is>
          <t>확정</t>
        </is>
      </c>
      <c r="J56" s="32" t="inlineStr">
        <is>
          <t>디바이스마트 1N4007, 최소 10개 (2026-10-20 확인)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30개 + 4.7kΩ 30개 (1/4W, 최소 수량)</t>
        </is>
      </c>
      <c r="D59" s="31" t="n">
        <v>1</v>
      </c>
      <c r="E59" s="32" t="inlineStr">
        <is>
          <t>세트</t>
        </is>
      </c>
      <c r="F59" s="33" t="n">
        <v>1518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디바이스마트 제일전자 103J·472J 각 30개 × 25.3원 (2026-10-20 확인) · 1개씩 사용 · 풀었을 때 페달을 떼야 재시동 (펌웨어)</t>
        </is>
      </c>
    </row>
    <row r="60" ht="29.25" customHeight="1" s="16">
      <c r="A60" s="31" t="n">
        <v>56</v>
      </c>
      <c r="B60" s="32" t="inlineStr">
        <is>
          <t>배송비</t>
        </is>
      </c>
      <c r="C60" s="31" t="inlineStr">
        <is>
          <t>새 판매처 포함</t>
        </is>
      </c>
      <c r="D60" s="31" t="n">
        <v>1</v>
      </c>
      <c r="E60" s="32" t="inlineStr">
        <is>
          <t>식</t>
        </is>
      </c>
      <c r="F60" s="33" t="n">
        <v>53200</v>
      </c>
      <c r="G60" s="34">
        <f>D60*F60</f>
        <v/>
      </c>
      <c r="H60" s="32" t="n"/>
      <c r="I60" s="32" t="inlineStr">
        <is>
          <t>확정</t>
        </is>
      </c>
      <c r="J60" s="32" t="inlineStr">
        <is>
          <t>v3 22,900 + 새 판매처 30,300 (2026-10-20 확인): KYK 3,000 · 평행핀 5x40 4,000 · 리우툴 3,000 · 무두볼트 3,000 · 목재나사 2,800 · 코르크 2,500 · 릴레이 3,000 · 전선 3,000 · 압착단자 3,000 · 소망트레이딩 3,000 / 디바이스마트(66,000 이상)·나머지 무료배송</t>
        </is>
      </c>
    </row>
    <row r="61">
      <c r="B61" s="38" t="inlineStr">
        <is>
          <t>합계 (확정 항목, 단가 입력된 것만)</t>
        </is>
      </c>
      <c r="G61" s="39">
        <f>SUMIFS(G5:G60,I5:I60,"확정")</f>
        <v/>
      </c>
    </row>
    <row r="62">
      <c r="B62" s="38" t="inlineStr">
        <is>
          <t>합계 (선택 포함)</t>
        </is>
      </c>
      <c r="G62" s="39">
        <f>SUM(G5:G60)</f>
        <v/>
      </c>
    </row>
    <row r="63">
      <c r="B63" s="38" t="inlineStr">
        <is>
          <t>단가 미확인 항목 수</t>
        </is>
      </c>
      <c r="G63" s="40">
        <f>COUNTBLANK(F5:F60)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3개, 5V 릴레이 모듈, 1N4007, 저항, 비상정지 스위치, 만능기판, 자석 10개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D컷 가공을 맡김. 게시판·카카오톡에 도면(v4/도면_D컷축.svg)을 첨부하고 아래 문구 그대로 견적 요청: "열처리 연마봉 Ø12 를 아래처럼 절단·가공해 주시고 가격을 알려 주세요.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열처리봉이 가공 어렵다고 하면 S45C 비열처리 연마봉으로 해도 됨 (축 안전율 14 이상이라 강도 문제 없음). 견적이 오면 구매신청 "축 양면 D컷 가공" 줄에 금액을 넣음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인두·실납, 걸이 저울 0~5kg(10g 단위, 시험 3 클러치 토크용), 디지털 캘리퍼스(0.01mm, 학교 것)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PLA (따로 준비)</t>
        </is>
      </c>
      <c r="B6" s="42" t="inlineStr">
        <is>
          <t>2.85mm PLA 약 4.7kg (보유 750g 빼면 1kg 롤 4개)</t>
        </is>
      </c>
      <c r="C6" s="42" t="inlineStr">
        <is>
          <t>구매 신청에서 뺌. 출력 예상 4.05kg + 실패 여유 15% (PrusaSlicer 추정). Ultimaker 2+ 용 2.85mm. 쿠팡 해외 1kg 30,600원(11/5 도착) 또는 국내 UltiMaker 750g 75,900원</t>
        </is>
      </c>
    </row>
    <row r="7">
      <c r="A7" s="42" t="inlineStr">
        <is>
          <t>도착 후</t>
        </is>
      </c>
      <c r="B7" s="42" t="inlineStr">
        <is>
          <t>—</t>
        </is>
      </c>
      <c r="C7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2026-10-20T13:49:45Z</dcterms:modified>
  <cp:revision>0</cp:revision>
</cp:coreProperties>
</file>