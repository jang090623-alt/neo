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구매목록_v4" sheetId="1" state="visible" r:id="rId1"/>
    <sheet xmlns:r="http://schemas.openxmlformats.org/officeDocument/2006/relationships" name="구매목록_v3" sheetId="2" state="visible" r:id="rId2"/>
    <sheet xmlns:r="http://schemas.openxmlformats.org/officeDocument/2006/relationships" name="구매목록_v2(9-25)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-#,##0;\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Noto Sans CJK SC"/>
      <family val="2"/>
      <b val="1"/>
      <sz val="14"/>
    </font>
    <font>
      <name val="Noto Sans CJK SC"/>
      <charset val="1"/>
      <family val="2"/>
      <i val="1"/>
      <sz val="9"/>
    </font>
    <font>
      <name val="Noto Sans CJK SC"/>
      <charset val="1"/>
      <family val="2"/>
      <b val="1"/>
      <color rgb="FFFFFFFF"/>
      <sz val="11"/>
    </font>
    <font>
      <name val="Arial"/>
      <charset val="1"/>
      <family val="0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Noto Sans CJK SC"/>
      <charset val="1"/>
      <family val="2"/>
      <b val="1"/>
      <sz val="11"/>
    </font>
    <font>
      <name val="Arial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164" fontId="8" fillId="3" borderId="1" applyAlignment="1" pivotButton="0" quotePrefix="0" xfId="0">
      <alignment horizontal="general" vertical="center" wrapText="1"/>
    </xf>
    <xf numFmtId="164" fontId="8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center" wrapText="1"/>
    </xf>
    <xf numFmtId="164" fontId="8" fillId="4" borderId="1" applyAlignment="1" pivotButton="0" quotePrefix="0" xfId="0">
      <alignment horizontal="general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164" fontId="8" fillId="3" borderId="1" applyAlignment="1" pivotButton="0" quotePrefix="0" xfId="0">
      <alignment horizontal="general" vertical="center" wrapText="1"/>
    </xf>
    <xf numFmtId="164" fontId="8" fillId="0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164" fontId="8" fillId="3" borderId="1" applyAlignment="1" pivotButton="0" quotePrefix="0" xfId="0">
      <alignment horizontal="general" vertical="center" wrapText="1"/>
    </xf>
    <xf numFmtId="164" fontId="8" fillId="0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center" wrapText="1"/>
    </xf>
    <xf numFmtId="164" fontId="8" fillId="4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coupang.com/vp/products/8630678241" TargetMode="External" Id="rId1"/><Relationship Type="http://schemas.openxmlformats.org/officeDocument/2006/relationships/hyperlink" Target="https://www.coupang.com/np/search?q=6003ZZ%20%EB%B2%A0%EC%96%B4%EB%A7%81" TargetMode="External" Id="rId2"/><Relationship Type="http://schemas.openxmlformats.org/officeDocument/2006/relationships/hyperlink" Target="https://smball.co.kr" TargetMode="External" Id="rId3"/><Relationship Type="http://schemas.openxmlformats.org/officeDocument/2006/relationships/hyperlink" Target="https://smball.co.kr" TargetMode="External" Id="rId4"/><Relationship Type="http://schemas.openxmlformats.org/officeDocument/2006/relationships/hyperlink" Target="https://smball.co.kr" TargetMode="External" Id="rId5"/><Relationship Type="http://schemas.openxmlformats.org/officeDocument/2006/relationships/hyperlink" Target="https://www.coupang.com/np/search?q=%ED%8F%89%ED%96%89%ED%95%80%205x25" TargetMode="External" Id="rId6"/><Relationship Type="http://schemas.openxmlformats.org/officeDocument/2006/relationships/hyperlink" Target="https://www.coupang.com/np/search?q=%ED%8F%89%ED%96%89%ED%95%80%205x40" TargetMode="External" Id="rId7"/><Relationship Type="http://schemas.openxmlformats.org/officeDocument/2006/relationships/hyperlink" Target="https://www.coupang.com/np/search?q=NBR%20%ED%98%B8%EC%8A%A4%20%EB%82%B4%EA%B2%BD5%20%EC%99%B8%EA%B2%BD10" TargetMode="External" Id="rId8"/><Relationship Type="http://schemas.openxmlformats.org/officeDocument/2006/relationships/hyperlink" Target="https://www.coupang.com/np/search?q=M16%20%ED%81%B0%EC%99%80%EC%85%94%20%EC%99%B8%EA%B2%BD50" TargetMode="External" Id="rId9"/><Relationship Type="http://schemas.openxmlformats.org/officeDocument/2006/relationships/hyperlink" Target="https://www.coupang.com/np/search?q=%EC%BD%94%EB%A5%B4%ED%81%AC%20%EC%8B%9C%ED%8A%B8%202mm" TargetMode="External" Id="rId10"/><Relationship Type="http://schemas.openxmlformats.org/officeDocument/2006/relationships/hyperlink" Target="https://www.devicemart.co.kr/goods/view?no=15336269" TargetMode="External" Id="rId11"/><Relationship Type="http://schemas.openxmlformats.org/officeDocument/2006/relationships/hyperlink" Target="https://www.devicemart.co.kr/goods/view?no=15336164" TargetMode="External" Id="rId12"/><Relationship Type="http://schemas.openxmlformats.org/officeDocument/2006/relationships/hyperlink" Target="https://www.coupang.com/vp/products/9638493021" TargetMode="External" Id="rId13"/><Relationship Type="http://schemas.openxmlformats.org/officeDocument/2006/relationships/hyperlink" Target="https://www.coupang.com/np/search?q=%EC%83%A4%ED%94%84%ED%8A%B8%20%EC%B9%BC%EB%9D%BC%206mm%20%EB%A9%88%EC%B6%A4%EB%82%98%EC%82%AC" TargetMode="External" Id="rId14"/><Relationship Type="http://schemas.openxmlformats.org/officeDocument/2006/relationships/hyperlink" Target="https://www.coupang.com/vp/products/7499146770" TargetMode="External" Id="rId15"/><Relationship Type="http://schemas.openxmlformats.org/officeDocument/2006/relationships/hyperlink" Target="https://www.coupang.com/vp/products/7499146770" TargetMode="External" Id="rId16"/><Relationship Type="http://schemas.openxmlformats.org/officeDocument/2006/relationships/hyperlink" Target="https://www.coupang.com/vp/products/7499146770" TargetMode="External" Id="rId17"/><Relationship Type="http://schemas.openxmlformats.org/officeDocument/2006/relationships/hyperlink" Target="https://www.coupang.com/vp/products/7499146770" TargetMode="External" Id="rId18"/><Relationship Type="http://schemas.openxmlformats.org/officeDocument/2006/relationships/hyperlink" Target="https://www.coupang.com/vp/products/7499146770" TargetMode="External" Id="rId19"/><Relationship Type="http://schemas.openxmlformats.org/officeDocument/2006/relationships/hyperlink" Target="https://www.coupang.com/vp/products/7499146770" TargetMode="External" Id="rId20"/><Relationship Type="http://schemas.openxmlformats.org/officeDocument/2006/relationships/hyperlink" Target="https://www.coupang.com/vp/products/7499146770" TargetMode="External" Id="rId21"/><Relationship Type="http://schemas.openxmlformats.org/officeDocument/2006/relationships/hyperlink" Target="https://www.coupang.com/np/search?q=%EC%8A%A4%ED%85%90%20%EB%AC%B4%EB%91%90%EB%B3%BC%ED%8A%B8%20M3x8" TargetMode="External" Id="rId22"/><Relationship Type="http://schemas.openxmlformats.org/officeDocument/2006/relationships/hyperlink" Target="https://www.coupang.com/np/search?q=%EC%8A%A4%ED%85%90%20%ED%8F%89%EC%99%80%EC%85%94%20M3" TargetMode="External" Id="rId23"/><Relationship Type="http://schemas.openxmlformats.org/officeDocument/2006/relationships/hyperlink" Target="https://www.coupang.com/np/search?q=%EC%8A%A4%ED%85%90%20%EB%A0%8C%EC%B9%98%EB%B3%BC%ED%8A%B8%20M4x16" TargetMode="External" Id="rId24"/><Relationship Type="http://schemas.openxmlformats.org/officeDocument/2006/relationships/hyperlink" Target="https://www.coupang.com/np/search?q=%EC%8A%A4%ED%85%90%20%EB%A0%8C%EC%B9%98%EB%B3%BC%ED%8A%B8%20M4x25" TargetMode="External" Id="rId25"/><Relationship Type="http://schemas.openxmlformats.org/officeDocument/2006/relationships/hyperlink" Target="https://www.coupang.com/np/search?q=%EC%8A%A4%ED%85%90%20%EB%A0%8C%EC%B9%98%EB%B3%BC%ED%8A%B8%20M4x30" TargetMode="External" Id="rId26"/><Relationship Type="http://schemas.openxmlformats.org/officeDocument/2006/relationships/hyperlink" Target="https://www.coupang.com/np/search?q=%EC%8A%A4%ED%85%90%20%EB%A0%8C%EC%B9%98%EB%B3%BC%ED%8A%B8%20M4x60" TargetMode="External" Id="rId27"/><Relationship Type="http://schemas.openxmlformats.org/officeDocument/2006/relationships/hyperlink" Target="https://www.coupang.com/np/search?q=%EC%8A%A4%ED%85%90%20%EB%A0%8C%EC%B9%98%EB%B3%BC%ED%8A%B8%20M5x10" TargetMode="External" Id="rId28"/><Relationship Type="http://schemas.openxmlformats.org/officeDocument/2006/relationships/hyperlink" Target="https://www.coupang.com/np/search?q=%EC%8A%A4%ED%85%90%20%EB%A0%8C%EC%B9%98%EB%B3%BC%ED%8A%B8%20M5x20" TargetMode="External" Id="rId29"/><Relationship Type="http://schemas.openxmlformats.org/officeDocument/2006/relationships/hyperlink" Target="https://www.coupang.com/np/search?q=%EC%8A%A4%ED%85%90%20%EB%A0%8C%EC%B9%98%EB%B3%BC%ED%8A%B8%20M5x12" TargetMode="External" Id="rId30"/><Relationship Type="http://schemas.openxmlformats.org/officeDocument/2006/relationships/hyperlink" Target="https://www.coupang.com/np/search?q=%EC%8A%A4%ED%85%90%20%EB%A0%8C%EC%B9%98%EB%B3%BC%ED%8A%B8%20M5x70" TargetMode="External" Id="rId31"/><Relationship Type="http://schemas.openxmlformats.org/officeDocument/2006/relationships/hyperlink" Target="https://www.coupang.com/np/search?q=%EC%8A%A4%ED%85%90%20%EB%A0%8C%EC%B9%98%EB%B3%BC%ED%8A%B8%20M6x25" TargetMode="External" Id="rId32"/><Relationship Type="http://schemas.openxmlformats.org/officeDocument/2006/relationships/hyperlink" Target="https://www.coupang.com/np/search?q=%EC%8A%A4%ED%85%90%20%EC%9C%A1%EA%B0%81%EB%84%88%ED%8A%B8%20M6" TargetMode="External" Id="rId33"/><Relationship Type="http://schemas.openxmlformats.org/officeDocument/2006/relationships/hyperlink" Target="https://www.coupang.com/np/search?q=%EB%82%98%EC%9D%BC%EB%A1%A0%20%EB%84%88%ED%8A%B8%20M6" TargetMode="External" Id="rId34"/><Relationship Type="http://schemas.openxmlformats.org/officeDocument/2006/relationships/hyperlink" Target="https://www.coupang.com/np/search?q=%EB%AA%A9%EC%9E%AC%EB%82%98%EC%82%AC%204x16" TargetMode="External" Id="rId35"/><Relationship Type="http://schemas.openxmlformats.org/officeDocument/2006/relationships/hyperlink" Target="https://www.coupang.com/np/search?q=2%EC%95%A1%ED%98%95%20%EC%97%90%ED%8F%AD%EC%8B%9C" TargetMode="External" Id="rId36"/><Relationship Type="http://schemas.openxmlformats.org/officeDocument/2006/relationships/hyperlink" Target="https://www.coupang.com/np/search?q=%EC%88%9C%EA%B0%84%EC%A0%91%EC%B0%A9%EC%A0%9C" TargetMode="External" Id="rId37"/><Relationship Type="http://schemas.openxmlformats.org/officeDocument/2006/relationships/hyperlink" Target="https://www.coupang.com/np/search?q=%EC%9E%90%EC%A0%84%EA%B1%B0%20%EB%B8%8C%EB%A0%88%EC%9D%B4%ED%81%AC%20%EC%BC%80%EC%9D%B4%EB%B8%94%20%EC%86%8D%EC%84%A0%20%EA%B2%89%EC%84%A0%20%EC%84%B8%ED%8A%B8" TargetMode="External" Id="rId38"/><Relationship Type="http://schemas.openxmlformats.org/officeDocument/2006/relationships/hyperlink" Target="https://www.coupang.com/vp/products/71452005" TargetMode="External" Id="rId39"/><Relationship Type="http://schemas.openxmlformats.org/officeDocument/2006/relationships/hyperlink" Target="https://www.coupang.com/vp/products/9593337115" TargetMode="External" Id="rId40"/><Relationship Type="http://schemas.openxmlformats.org/officeDocument/2006/relationships/hyperlink" Target="https://www.coupang.com/vp/products/1119152790" TargetMode="External" Id="rId41"/><Relationship Type="http://schemas.openxmlformats.org/officeDocument/2006/relationships/hyperlink" Target="https://www.coupang.com/vp/products/8520223332" TargetMode="External" Id="rId42"/><Relationship Type="http://schemas.openxmlformats.org/officeDocument/2006/relationships/hyperlink" Target="https://www.coupang.com/vp/products/7119515778" TargetMode="External" Id="rId43"/><Relationship Type="http://schemas.openxmlformats.org/officeDocument/2006/relationships/hyperlink" Target="https://www.coupang.com/np/search?q=%EA%B0%80%EB%B3%80%EC%A0%80%ED%95%AD%20B10K%20%EB%B0%98%EB%8B%AC%EC%B6%95%2015mm" TargetMode="External" Id="rId44"/><Relationship Type="http://schemas.openxmlformats.org/officeDocument/2006/relationships/hyperlink" Target="https://www.coupang.com/vp/products/9167678186" TargetMode="External" Id="rId45"/><Relationship Type="http://schemas.openxmlformats.org/officeDocument/2006/relationships/hyperlink" Target="https://www.coupang.com/vp/products/9699042565" TargetMode="External" Id="rId46"/><Relationship Type="http://schemas.openxmlformats.org/officeDocument/2006/relationships/hyperlink" Target="https://www.coupang.com/vp/products/9661304796" TargetMode="External" Id="rId47"/><Relationship Type="http://schemas.openxmlformats.org/officeDocument/2006/relationships/hyperlink" Target="https://www.coupang.com/np/search?q=%EC%9E%90%EB%8F%99%EC%B0%A8%20%EB%A6%B4%EB%A0%88%EC%9D%B4%2012V%2040A%20%EC%86%8C%EC%BC%93" TargetMode="External" Id="rId48"/><Relationship Type="http://schemas.openxmlformats.org/officeDocument/2006/relationships/hyperlink" Target="https://www.coupang.com/np/search?q=%EB%B8%94%EB%A0%88%EC%9D%B4%EB%93%9C%20%ED%93%A8%EC%A6%88%20%ED%99%80%EB%8D%94%2015A" TargetMode="External" Id="rId49"/><Relationship Type="http://schemas.openxmlformats.org/officeDocument/2006/relationships/hyperlink" Target="https://www.coupang.com/np/search?q=%EB%B9%84%EC%83%81%EC%A0%95%EC%A7%80%20%EC%8A%A4%EC%9C%84%EC%B9%98%20%EB%B2%84%EC%84%AF%ED%98%95%20NC" TargetMode="External" Id="rId50"/><Relationship Type="http://schemas.openxmlformats.org/officeDocument/2006/relationships/hyperlink" Target="https://www.coupang.com/np/search?q=%EC%95%84%EB%91%90%EC%9D%B4%EB%85%B8%205V%20%EB%A6%B4%EB%A0%88%EC%9D%B4%20%EB%AA%A8%EB%93%88%201%EC%B1%84%EB%84%90" TargetMode="External" Id="rId51"/><Relationship Type="http://schemas.openxmlformats.org/officeDocument/2006/relationships/hyperlink" Target="https://www.coupang.com/np/search?q=1N4007%20%EB%8B%A4%EC%9D%B4%EC%98%A4%EB%93%9C" TargetMode="External" Id="rId52"/><Relationship Type="http://schemas.openxmlformats.org/officeDocument/2006/relationships/hyperlink" Target="https://www.coupang.com/np/search?q=16AWG%20%EC%A0%84%EC%84%A0%20%EC%A0%81%ED%9D%91" TargetMode="External" Id="rId53"/><Relationship Type="http://schemas.openxmlformats.org/officeDocument/2006/relationships/hyperlink" Target="https://www.coupang.com/np/search?q=250%20%EC%A0%88%EC%97%B0%20%EC%95%94%20%ED%8F%89%ED%98%95%20%EB%8B%A8%EC%9E%90" TargetMode="External" Id="rId54"/><Relationship Type="http://schemas.openxmlformats.org/officeDocument/2006/relationships/hyperlink" Target="https://www.coupang.com/np/search?q=%EC%A0%80%ED%95%AD%2010K%204.7K%201/4W" TargetMode="External" Id="rId55"/><Relationship Type="http://schemas.openxmlformats.org/officeDocument/2006/relationships/hyperlink" Target="https://www.coupang.com/np/search?q=PLA%20%ED%95%84%EB%9D%BC%EB%A9%98%ED%8A%B8%202.85mm" TargetMode="External" Id="rId56"/><Relationship Type="http://schemas.openxmlformats.org/officeDocument/2006/relationships/hyperlink" Target="https://www.coupang.com/np/search?q=%EC%9C%A1%EA%B0%81%20%EB%A0%8C%EC%B9%98%20%EC%84%B8%ED%8A%B8" TargetMode="External" Id="rId57"/><Relationship Type="http://schemas.openxmlformats.org/officeDocument/2006/relationships/hyperlink" Target="https://www.coupang.com/np/search?q=%EB%93%9C%EB%A6%B4%20%EB%B9%84%ED%8A%B8%203.4mm" TargetMode="External" Id="rId58"/><Relationship Type="http://schemas.openxmlformats.org/officeDocument/2006/relationships/hyperlink" Target="https://www.coupang.com/np/search?q=%EB%82%A9%EB%95%9C%20%EC%9D%B8%EB%91%90%20%EC%84%B8%ED%8A%B8" TargetMode="External" Id="rId59"/><Relationship Type="http://schemas.openxmlformats.org/officeDocument/2006/relationships/hyperlink" Target="https://www.coupang.com/np/search?q=%EB%94%94%EC%A7%80%ED%84%B8%20%EA%B1%B8%EC%9D%B4%20%EC%A0%80%EC%9A%B8%205kg" TargetMode="External" Id="rId60"/><Relationship Type="http://schemas.openxmlformats.org/officeDocument/2006/relationships/hyperlink" Target="https://www.coupang.com/np/search?q=%EB%94%94%EC%A7%80%ED%84%B8%20%EC%BA%98%EB%A6%AC%ED%8D%BC%EC%8A%A4%20150mm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style="16" min="1" max="1"/>
    <col width="20" customWidth="1" style="16" min="2" max="2"/>
    <col width="34" customWidth="1" style="16" min="3" max="3"/>
    <col width="6" customWidth="1" style="16" min="4" max="4"/>
    <col width="11" customWidth="1" style="16" min="6" max="6"/>
    <col width="12" customWidth="1" style="16" min="7" max="7"/>
    <col width="24" customWidth="1" style="16" min="8" max="8"/>
    <col width="10" customWidth="1" style="16" min="9" max="9"/>
    <col width="48" customWidth="1" style="16" min="10" max="10"/>
  </cols>
  <sheetData>
    <row r="1" ht="21" customHeight="1" s="16">
      <c r="A1" s="28" t="inlineStr">
        <is>
          <t>3D프린팅 수동변속기 제작 - 구매 물품 목록 (v4.1)</t>
        </is>
      </c>
    </row>
    <row r="2" ht="15" customHeight="1" s="16">
      <c r="A2" s="29" t="inlineStr">
        <is>
          <t>작성일 2026-10-19 · 설계서 v4.1 기준 · 노란 칸(단가)만 입력하면 금액·합계가 계산됩니다. 단가는 v3 표(2026-10-19 확인)에서 가져온 것만 넣음, 비어 있는 칸은 미확인입니다. 품명을 누르면 쿠팡 상품·검색으로 (스프링은 디바이스마트, 축은 소망트레이딩).</t>
        </is>
      </c>
    </row>
    <row r="4" ht="16.5" customHeight="1" s="16">
      <c r="A4" s="30" t="inlineStr">
        <is>
          <t>번호</t>
        </is>
      </c>
      <c r="B4" s="30" t="inlineStr">
        <is>
          <t>품명</t>
        </is>
      </c>
      <c r="C4" s="30" t="inlineStr">
        <is>
          <t>규격</t>
        </is>
      </c>
      <c r="D4" s="30" t="inlineStr">
        <is>
          <t>수량</t>
        </is>
      </c>
      <c r="E4" s="30" t="inlineStr">
        <is>
          <t>단위</t>
        </is>
      </c>
      <c r="F4" s="30" t="inlineStr">
        <is>
          <t>단가(원)</t>
        </is>
      </c>
      <c r="G4" s="30" t="inlineStr">
        <is>
          <t>금액(원)</t>
        </is>
      </c>
      <c r="H4" s="30" t="inlineStr">
        <is>
          <t>용도</t>
        </is>
      </c>
      <c r="I4" s="30" t="inlineStr">
        <is>
          <t>상태</t>
        </is>
      </c>
      <c r="J4" s="30" t="inlineStr">
        <is>
          <t>비고</t>
        </is>
      </c>
    </row>
    <row r="5" ht="29.25" customHeight="1" s="16">
      <c r="A5" s="31" t="n">
        <v>1</v>
      </c>
      <c r="B5" s="32" t="inlineStr">
        <is>
          <t>6001ZZ 볼 베어링 (10개 묶음)</t>
        </is>
      </c>
      <c r="C5" s="31" t="inlineStr">
        <is>
          <t>12×28×8</t>
        </is>
      </c>
      <c r="D5" s="31" t="n">
        <v>2</v>
      </c>
      <c r="E5" s="32" t="inlineStr">
        <is>
          <t>묶음</t>
        </is>
      </c>
      <c r="F5" s="33" t="n">
        <v>6000</v>
      </c>
      <c r="G5" s="34">
        <f>D5*F5</f>
        <v/>
      </c>
      <c r="H5" s="32" t="inlineStr">
        <is>
          <t>끝판 4 + 출력 기어 12 + 아이들러 2 + 클러치 파일럿 1 = 19개</t>
        </is>
      </c>
      <c r="I5" s="32" t="inlineStr">
        <is>
          <t>확정</t>
        </is>
      </c>
      <c r="J5" s="32" t="inlineStr">
        <is>
          <t>v3 단가 · 쿠팡 /vp/products/8630678241</t>
        </is>
      </c>
    </row>
    <row r="6" ht="29.25" customHeight="1" s="16">
      <c r="A6" s="31" t="n">
        <v>2</v>
      </c>
      <c r="B6" s="32" t="inlineStr">
        <is>
          <t>6003ZZ 볼 베어링</t>
        </is>
      </c>
      <c r="C6" s="31" t="inlineStr">
        <is>
          <t>17×35×10</t>
        </is>
      </c>
      <c r="D6" s="31" t="n">
        <v>1</v>
      </c>
      <c r="E6" s="32" t="inlineStr">
        <is>
          <t>개</t>
        </is>
      </c>
      <c r="F6" s="33" t="n"/>
      <c r="G6" s="34">
        <f>D6*F6</f>
        <v/>
      </c>
      <c r="H6" s="32" t="inlineStr">
        <is>
          <t>클러치 릴리스 베어링</t>
        </is>
      </c>
      <c r="I6" s="32" t="inlineStr">
        <is>
          <t>확정</t>
        </is>
      </c>
      <c r="J6" s="32" t="inlineStr">
        <is>
          <t>단가 미확인 · 검색어 "6003ZZ" · 02 시험편으로 압입 자리 확인</t>
        </is>
      </c>
    </row>
    <row r="7" ht="29.25" customHeight="1" s="16">
      <c r="A7" s="31" t="n">
        <v>3</v>
      </c>
      <c r="B7" s="32" t="inlineStr">
        <is>
          <t>연마봉(강철 축)</t>
        </is>
      </c>
      <c r="C7" s="31" t="inlineStr">
        <is>
          <t>Ø12 1m → 435·358(둘 다 전체 양면 D컷: 마주 보는 두 면, 면 사이 10.0) + 160</t>
        </is>
      </c>
      <c r="D7" s="31" t="n">
        <v>1</v>
      </c>
      <c r="E7" s="32" t="inlineStr">
        <is>
          <t>개</t>
        </is>
      </c>
      <c r="F7" s="33" t="n">
        <v>16000</v>
      </c>
      <c r="G7" s="34">
        <f>D7*F7</f>
        <v/>
      </c>
      <c r="H7" s="32" t="inlineStr">
        <is>
          <t>입력축 435, 출력축 358, 레버봉 160</t>
        </is>
      </c>
      <c r="I7" s="32" t="inlineStr">
        <is>
          <t>확정</t>
        </is>
      </c>
      <c r="J7" s="32" t="inlineStr">
        <is>
          <t>v3 단가 · 소망트레이딩(smball.co.kr) · 절단·양면 D컷 가능 여부·비용 미확인 → 불가하면 미스미 양면 D컷 샤프트(길이 지정)</t>
        </is>
      </c>
    </row>
    <row r="8" ht="29.25" customHeight="1" s="16">
      <c r="A8" s="31" t="n">
        <v>4</v>
      </c>
      <c r="B8" s="32" t="inlineStr">
        <is>
          <t>연마봉(강철 축) 짧은 것</t>
        </is>
      </c>
      <c r="C8" s="31" t="inlineStr">
        <is>
          <t>Ø12, 55mm 이상 (55로 절단)</t>
        </is>
      </c>
      <c r="D8" s="31" t="n">
        <v>1</v>
      </c>
      <c r="E8" s="32" t="inlineStr">
        <is>
          <t>개</t>
        </is>
      </c>
      <c r="F8" s="33" t="n"/>
      <c r="G8" s="34">
        <f>D8*F8</f>
        <v/>
      </c>
      <c r="H8" s="32" t="inlineStr">
        <is>
          <t>후진 아이들러 축</t>
        </is>
      </c>
      <c r="I8" s="32" t="inlineStr">
        <is>
          <t>확정</t>
        </is>
      </c>
      <c r="J8" s="32" t="inlineStr">
        <is>
          <t>1m 에서 위 3개를 자르면 약 41mm 만 남아 따로 필요 · 단가 미확인</t>
        </is>
      </c>
    </row>
    <row r="9" ht="29.25" customHeight="1" s="16">
      <c r="A9" s="31" t="n">
        <v>5</v>
      </c>
      <c r="B9" s="32" t="inlineStr">
        <is>
          <t>연마봉(변속 레일)</t>
        </is>
      </c>
      <c r="C9" s="31" t="inlineStr">
        <is>
          <t>Ø6, 371mm</t>
        </is>
      </c>
      <c r="D9" s="31" t="n">
        <v>3</v>
      </c>
      <c r="E9" s="32" t="inlineStr">
        <is>
          <t>개</t>
        </is>
      </c>
      <c r="F9" s="33" t="n"/>
      <c r="G9" s="34">
        <f>D9*F9</f>
        <v/>
      </c>
      <c r="H9" s="32" t="inlineStr">
        <is>
          <t>시프트 레일</t>
        </is>
      </c>
      <c r="I9" s="32" t="inlineStr">
        <is>
          <t>확정</t>
        </is>
      </c>
      <c r="J9" s="32" t="inlineStr">
        <is>
          <t>소망트레이딩 · 단가 미확인 (v3 참고: 200mm 2,600원)</t>
        </is>
      </c>
    </row>
    <row r="10" ht="29.25" customHeight="1" s="16">
      <c r="A10" s="31" t="n">
        <v>6</v>
      </c>
      <c r="B10" s="32" t="inlineStr">
        <is>
          <t>강철 평행핀</t>
        </is>
      </c>
      <c r="C10" s="31" t="inlineStr">
        <is>
          <t>Ø5×25</t>
        </is>
      </c>
      <c r="D10" s="31" t="n">
        <v>28</v>
      </c>
      <c r="E10" s="32" t="inlineStr">
        <is>
          <t>개</t>
        </is>
      </c>
      <c r="F10" s="33" t="n"/>
      <c r="G10" s="34">
        <f>D10*F10</f>
        <v/>
      </c>
      <c r="H10" s="32" t="inlineStr">
        <is>
          <t>출력 기어 6개 × 4 = 24 (+여유 4): 도그</t>
        </is>
      </c>
      <c r="I10" s="32" t="inlineStr">
        <is>
          <t>확정</t>
        </is>
      </c>
      <c r="J10" s="32" t="inlineStr">
        <is>
          <t>검색어 "평행핀 5x25" · 02 시험편(구멍 4.8/4.9/5.0)으로 압입 구멍 확정</t>
        </is>
      </c>
    </row>
    <row r="11" ht="29.25" customHeight="1" s="16">
      <c r="A11" s="31" t="n">
        <v>7</v>
      </c>
      <c r="B11" s="32" t="inlineStr">
        <is>
          <t>강철 평행핀</t>
        </is>
      </c>
      <c r="C11" s="31" t="inlineStr">
        <is>
          <t>Ø5×40</t>
        </is>
      </c>
      <c r="D11" s="31" t="n">
        <v>6</v>
      </c>
      <c r="E11" s="32" t="inlineStr">
        <is>
          <t>개</t>
        </is>
      </c>
      <c r="F11" s="33" t="n"/>
      <c r="G11" s="34">
        <f>D11*F11</f>
        <v/>
      </c>
      <c r="H11" s="32" t="inlineStr">
        <is>
          <t>스프로킷 커플링 핀</t>
        </is>
      </c>
      <c r="I11" s="32" t="inlineStr">
        <is>
          <t>확정</t>
        </is>
      </c>
      <c r="J11" s="32" t="inlineStr">
        <is>
          <t>검색어 "평행핀 5x40"</t>
        </is>
      </c>
    </row>
    <row r="12" ht="29.25" customHeight="1" s="16">
      <c r="A12" s="31" t="n">
        <v>8</v>
      </c>
      <c r="B12" s="32" t="inlineStr">
        <is>
          <t>NBR 고무 호스</t>
        </is>
      </c>
      <c r="C12" s="31" t="inlineStr">
        <is>
          <t>안지름 5 × 바깥지름 10</t>
        </is>
      </c>
      <c r="D12" s="31" t="n">
        <v>1</v>
      </c>
      <c r="E12" s="32" t="inlineStr">
        <is>
          <t>m</t>
        </is>
      </c>
      <c r="F12" s="33" t="n"/>
      <c r="G12" s="34">
        <f>D12*F12</f>
        <v/>
      </c>
      <c r="H12" s="32" t="inlineStr">
        <is>
          <t>핀 쿠션 (6mm × 24개 = 144mm)</t>
        </is>
      </c>
      <c r="I12" s="32" t="inlineStr">
        <is>
          <t>확정</t>
        </is>
      </c>
      <c r="J12" s="32" t="inlineStr">
        <is>
          <t>쇼어 70A 내외 · 검색어 "NBR 호스 5mm 10mm"</t>
        </is>
      </c>
    </row>
    <row r="13" ht="29.25" customHeight="1" s="16">
      <c r="A13" s="31" t="n">
        <v>9</v>
      </c>
      <c r="B13" s="32" t="inlineStr">
        <is>
          <t>큰 와셔 DIN9021 M16 (강철)</t>
        </is>
      </c>
      <c r="C13" s="31" t="inlineStr">
        <is>
          <t>안지름 17 × 바깥지름 50 × 두께 3</t>
        </is>
      </c>
      <c r="D13" s="31" t="n">
        <v>2</v>
      </c>
      <c r="E13" s="32" t="inlineStr">
        <is>
          <t>개</t>
        </is>
      </c>
      <c r="F13" s="33" t="n"/>
      <c r="G13" s="34">
        <f>D13*F13</f>
        <v/>
      </c>
      <c r="H13" s="32" t="inlineStr">
        <is>
          <t>클러치 원판 1 + 여분 1</t>
        </is>
      </c>
      <c r="I13" s="32" t="inlineStr">
        <is>
          <t>확정</t>
        </is>
      </c>
      <c r="J13" s="32" t="inlineStr">
        <is>
          <t>검색어 "M16 큰와셔 50mm" · 두께 3 확인</t>
        </is>
      </c>
    </row>
    <row r="14" ht="29.25" customHeight="1" s="16">
      <c r="A14" s="31" t="n">
        <v>10</v>
      </c>
      <c r="B14" s="32" t="inlineStr">
        <is>
          <t>코르크 시트</t>
        </is>
      </c>
      <c r="C14" s="31" t="inlineStr">
        <is>
          <t>두께 2mm, A4</t>
        </is>
      </c>
      <c r="D14" s="31" t="n">
        <v>1</v>
      </c>
      <c r="E14" s="32" t="inlineStr">
        <is>
          <t>장</t>
        </is>
      </c>
      <c r="F14" s="33" t="n"/>
      <c r="G14" s="34">
        <f>D14*F14</f>
        <v/>
      </c>
      <c r="H14" s="32" t="inlineStr">
        <is>
          <t>클러치 마찰재 링 2개 (바깥 Ø50, 안 Ø26)</t>
        </is>
      </c>
      <c r="I14" s="32" t="inlineStr">
        <is>
          <t>확정</t>
        </is>
      </c>
      <c r="J14" s="32" t="inlineStr">
        <is>
          <t>검색어 "코르크 시트 2mm"</t>
        </is>
      </c>
    </row>
    <row r="15" ht="29.25" customHeight="1" s="16">
      <c r="A15" s="31" t="n">
        <v>11</v>
      </c>
      <c r="B15" s="32" t="inlineStr">
        <is>
          <t>압축 스프링 C252</t>
        </is>
      </c>
      <c r="C15" s="31" t="inlineStr">
        <is>
          <t>외경 18, 자유장 32</t>
        </is>
      </c>
      <c r="D15" s="31" t="n">
        <v>9</v>
      </c>
      <c r="E15" s="32" t="inlineStr">
        <is>
          <t>개</t>
        </is>
      </c>
      <c r="F15" s="33" t="n">
        <v>8360</v>
      </c>
      <c r="G15" s="34">
        <f>D15*F15</f>
        <v/>
      </c>
      <c r="H15" s="32" t="inlineStr">
        <is>
          <t>포크 카트리지 3 + 클러치 3 + 레버 후진 잠금 1 + 페달 복귀 2</t>
        </is>
      </c>
      <c r="I15" s="32" t="inlineStr">
        <is>
          <t>확정</t>
        </is>
      </c>
      <c r="J15" s="32" t="inlineStr">
        <is>
          <t>디바이스마트 no=15336269 · 선경 미표기 → 스프링 상수·허용 하중으로 역산 선경 약 1.4~1.6, 안지름 약 14.8~15.2 (필요 12.5 이상, 미검증)</t>
        </is>
      </c>
    </row>
    <row r="16" ht="29.25" customHeight="1" s="16">
      <c r="A16" s="31" t="n">
        <v>12</v>
      </c>
      <c r="B16" s="32" t="inlineStr">
        <is>
          <t>압축 스프링 C147</t>
        </is>
      </c>
      <c r="C16" s="31" t="inlineStr">
        <is>
          <t>외경 5, 길이 10</t>
        </is>
      </c>
      <c r="D16" s="31" t="n">
        <v>3</v>
      </c>
      <c r="E16" s="32" t="inlineStr">
        <is>
          <t>개</t>
        </is>
      </c>
      <c r="F16" s="33" t="n">
        <v>990</v>
      </c>
      <c r="G16" s="34">
        <f>D16*F16</f>
        <v/>
      </c>
      <c r="H16" s="32" t="inlineStr">
        <is>
          <t>러그 디텐트</t>
        </is>
      </c>
      <c r="I16" s="32" t="inlineStr">
        <is>
          <t>확정</t>
        </is>
      </c>
      <c r="J16" s="32" t="inlineStr">
        <is>
          <t>디바이스마트 no=15336164</t>
        </is>
      </c>
    </row>
    <row r="17" ht="29.25" customHeight="1" s="16">
      <c r="A17" s="31" t="n">
        <v>13</v>
      </c>
      <c r="B17" s="32" t="inlineStr">
        <is>
          <t>강구</t>
        </is>
      </c>
      <c r="C17" s="31" t="inlineStr">
        <is>
          <t>Ø6mm 50개</t>
        </is>
      </c>
      <c r="D17" s="31" t="n">
        <v>1</v>
      </c>
      <c r="E17" s="32" t="inlineStr">
        <is>
          <t>봉</t>
        </is>
      </c>
      <c r="F17" s="33" t="n">
        <v>3500</v>
      </c>
      <c r="G17" s="34">
        <f>D17*F17</f>
        <v/>
      </c>
      <c r="H17" s="32" t="inlineStr">
        <is>
          <t>러그 디텐트 3</t>
        </is>
      </c>
      <c r="I17" s="32" t="inlineStr">
        <is>
          <t>확정</t>
        </is>
      </c>
      <c r="J17" s="32" t="inlineStr">
        <is>
          <t>v3 단가 · 쿠팡 /9638493021</t>
        </is>
      </c>
    </row>
    <row r="18" ht="29.25" customHeight="1" s="16">
      <c r="A18" s="31" t="n">
        <v>14</v>
      </c>
      <c r="B18" s="32" t="inlineStr">
        <is>
          <t>샤프트 칼라 (Ø6 축용)</t>
        </is>
      </c>
      <c r="C18" s="31" t="inlineStr">
        <is>
          <t>안지름 6, 바깥지름 12, 폭 8, 멈춤나사형 (표준 규격)</t>
        </is>
      </c>
      <c r="D18" s="31" t="n">
        <v>6</v>
      </c>
      <c r="E18" s="32" t="inlineStr">
        <is>
          <t>개</t>
        </is>
      </c>
      <c r="F18" s="33" t="n"/>
      <c r="G18" s="34">
        <f>D18*F18</f>
        <v/>
      </c>
      <c r="H18" s="32" t="inlineStr">
        <is>
          <t>변속 레일 카트리지 양쪽</t>
        </is>
      </c>
      <c r="I18" s="32" t="inlineStr">
        <is>
          <t>확정</t>
        </is>
      </c>
      <c r="J18" s="32" t="inlineStr">
        <is>
          <t>예: RS PRO 8236939 (6/12/8, 5개 묶음) · 바깥지름 12 넘으면 카트리지 구멍(13)에 안 들어감</t>
        </is>
      </c>
    </row>
    <row r="19" ht="29.25" customHeight="1" s="16">
      <c r="A19" s="31" t="n">
        <v>15</v>
      </c>
      <c r="B19" s="32" t="inlineStr">
        <is>
          <t>M3 렌치볼트</t>
        </is>
      </c>
      <c r="C19" s="31" t="inlineStr">
        <is>
          <t>M3×8 (육각 홈붙이, 스텐)</t>
        </is>
      </c>
      <c r="D19" s="31" t="n">
        <v>9</v>
      </c>
      <c r="E19" s="32" t="inlineStr">
        <is>
          <t>개</t>
        </is>
      </c>
      <c r="F19" s="33" t="n"/>
      <c r="G19" s="34">
        <f>D19*F19</f>
        <v/>
      </c>
      <c r="H19" s="32" t="inlineStr">
        <is>
          <t>포크 카트리지 뚜껑 6, 디텐트 3 (C147 을 5mm 로 누름)</t>
        </is>
      </c>
      <c r="I19" s="32" t="inlineStr">
        <is>
          <t>확정</t>
        </is>
      </c>
      <c r="J19" s="32" t="inlineStr">
        <is>
          <t>모든 볼트는 렌치볼트(머리 Ø5.5): 부품의 머리 자리가 이 크기 · 단가 미확인</t>
        </is>
      </c>
    </row>
    <row r="20" ht="29.25" customHeight="1" s="16">
      <c r="A20" s="31" t="n">
        <v>16</v>
      </c>
      <c r="B20" s="32" t="inlineStr">
        <is>
          <t>M3 렌치볼트</t>
        </is>
      </c>
      <c r="C20" s="31" t="inlineStr">
        <is>
          <t>M3×10</t>
        </is>
      </c>
      <c r="D20" s="31" t="n">
        <v>1</v>
      </c>
      <c r="E20" s="32" t="inlineStr">
        <is>
          <t>개</t>
        </is>
      </c>
      <c r="F20" s="33" t="n"/>
      <c r="G20" s="34">
        <f>D20*F20</f>
        <v/>
      </c>
      <c r="H20" s="32" t="inlineStr">
        <is>
          <t>클러치 포크 속선 누름 (자가탭, 와셔 1)</t>
        </is>
      </c>
      <c r="I20" s="32" t="inlineStr">
        <is>
          <t>확정</t>
        </is>
      </c>
      <c r="J20" s="32" t="inlineStr">
        <is>
          <t>단가 미확인</t>
        </is>
      </c>
    </row>
    <row r="21" ht="29.25" customHeight="1" s="16">
      <c r="A21" s="31" t="n">
        <v>17</v>
      </c>
      <c r="B21" s="32" t="inlineStr">
        <is>
          <t>M3 렌치볼트</t>
        </is>
      </c>
      <c r="C21" s="31" t="inlineStr">
        <is>
          <t>M3×12</t>
        </is>
      </c>
      <c r="D21" s="31" t="n">
        <v>34</v>
      </c>
      <c r="E21" s="32" t="inlineStr">
        <is>
          <t>개</t>
        </is>
      </c>
      <c r="F21" s="33" t="n"/>
      <c r="G21" s="34">
        <f>D21*F21</f>
        <v/>
      </c>
      <c r="H21" s="32" t="inlineStr">
        <is>
          <t>칼라 7, 클러치 덮개 7, 축 끝 덮개 4, 바퀴 덮개 2, 아크릴 14</t>
        </is>
      </c>
      <c r="I21" s="32" t="inlineStr">
        <is>
          <t>확정</t>
        </is>
      </c>
      <c r="J21" s="32" t="inlineStr">
        <is>
          <t>모두 자가탭 · 아크릴에는 M3 와셔</t>
        </is>
      </c>
    </row>
    <row r="22" ht="29.25" customHeight="1" s="16">
      <c r="A22" s="31" t="n">
        <v>18</v>
      </c>
      <c r="B22" s="32" t="inlineStr">
        <is>
          <t>M3 렌치볼트</t>
        </is>
      </c>
      <c r="C22" s="31" t="inlineStr">
        <is>
          <t>M3×16</t>
        </is>
      </c>
      <c r="D22" s="31" t="n">
        <v>2</v>
      </c>
      <c r="E22" s="32" t="inlineStr">
        <is>
          <t>개</t>
        </is>
      </c>
      <c r="F22" s="33" t="n"/>
      <c r="G22" s="34">
        <f>D22*F22</f>
        <v/>
      </c>
      <c r="H22" s="32" t="inlineStr">
        <is>
          <t>바퀴 덮개 아래 받침</t>
        </is>
      </c>
      <c r="I22" s="32" t="inlineStr">
        <is>
          <t>확정</t>
        </is>
      </c>
      <c r="J22" s="32" t="inlineStr">
        <is>
          <t>단가 미확인</t>
        </is>
      </c>
    </row>
    <row r="23" ht="29.25" customHeight="1" s="16">
      <c r="A23" s="31" t="n">
        <v>19</v>
      </c>
      <c r="B23" s="32" t="inlineStr">
        <is>
          <t>M3 렌치볼트 + 너트</t>
        </is>
      </c>
      <c r="C23" s="31" t="inlineStr">
        <is>
          <t>M3×20</t>
        </is>
      </c>
      <c r="D23" s="31" t="n">
        <v>9</v>
      </c>
      <c r="E23" s="32" t="inlineStr">
        <is>
          <t>세트</t>
        </is>
      </c>
      <c r="F23" s="33" t="n"/>
      <c r="G23" s="34">
        <f>D23*F23</f>
        <v/>
      </c>
      <c r="H23" s="32" t="inlineStr">
        <is>
          <t>슬리브 결합 (머리·너트는 육각 자리 안에 숨음)</t>
        </is>
      </c>
      <c r="I23" s="32" t="inlineStr">
        <is>
          <t>확정</t>
        </is>
      </c>
      <c r="J23" s="32" t="inlineStr">
        <is>
          <t>냄비머리(Ø6)는 육각 자리(맞변 5.7)에 안 들어감</t>
        </is>
      </c>
    </row>
    <row r="24" ht="29.25" customHeight="1" s="16">
      <c r="A24" s="31" t="n">
        <v>20</v>
      </c>
      <c r="B24" s="32" t="inlineStr">
        <is>
          <t>M3 렌치볼트</t>
        </is>
      </c>
      <c r="C24" s="31" t="inlineStr">
        <is>
          <t>M3×25</t>
        </is>
      </c>
      <c r="D24" s="31" t="n">
        <v>6</v>
      </c>
      <c r="E24" s="32" t="inlineStr">
        <is>
          <t>개</t>
        </is>
      </c>
      <c r="F24" s="33" t="n"/>
      <c r="G24" s="34">
        <f>D24*F24</f>
        <v/>
      </c>
      <c r="H24" s="32" t="inlineStr">
        <is>
          <t>러그 (자가탭, 끝이 레일을 누름)</t>
        </is>
      </c>
      <c r="I24" s="32" t="inlineStr">
        <is>
          <t>확정</t>
        </is>
      </c>
      <c r="J24" s="32" t="inlineStr">
        <is>
          <t>M3×30 은 머리가 러그 위로 5mm 나와 캐리어에 닿음</t>
        </is>
      </c>
    </row>
    <row r="25" ht="29.25" customHeight="1" s="16">
      <c r="A25" s="31" t="n">
        <v>21</v>
      </c>
      <c r="B25" s="32" t="inlineStr">
        <is>
          <t>M3 렌치볼트</t>
        </is>
      </c>
      <c r="C25" s="31" t="inlineStr">
        <is>
          <t>M3×50</t>
        </is>
      </c>
      <c r="D25" s="31" t="n">
        <v>4</v>
      </c>
      <c r="E25" s="32" t="inlineStr">
        <is>
          <t>개</t>
        </is>
      </c>
      <c r="F25" s="33" t="n"/>
      <c r="G25" s="34">
        <f>D25*F25</f>
        <v/>
      </c>
      <c r="H25" s="32" t="inlineStr">
        <is>
          <t>끝 채움판 → 끝판</t>
        </is>
      </c>
      <c r="I25" s="32" t="inlineStr">
        <is>
          <t>확정</t>
        </is>
      </c>
      <c r="J25" s="32" t="inlineStr">
        <is>
          <t>단가 미확인</t>
        </is>
      </c>
    </row>
    <row r="26" ht="29.25" customHeight="1" s="16">
      <c r="A26" s="31" t="n">
        <v>22</v>
      </c>
      <c r="B26" s="32" t="inlineStr">
        <is>
          <t>M3 무두볼트</t>
        </is>
      </c>
      <c r="C26" s="31" t="inlineStr">
        <is>
          <t>M3×8</t>
        </is>
      </c>
      <c r="D26" s="31" t="n">
        <v>1</v>
      </c>
      <c r="E26" s="32" t="inlineStr">
        <is>
          <t>개</t>
        </is>
      </c>
      <c r="F26" s="33" t="n"/>
      <c r="G26" s="34">
        <f>D26*F26</f>
        <v/>
      </c>
      <c r="H26" s="32" t="inlineStr">
        <is>
          <t>표시 바퀴 고정</t>
        </is>
      </c>
      <c r="I26" s="32" t="inlineStr">
        <is>
          <t>확정</t>
        </is>
      </c>
      <c r="J26" s="32" t="inlineStr">
        <is>
          <t>단가 미확인</t>
        </is>
      </c>
    </row>
    <row r="27" ht="29.25" customHeight="1" s="16">
      <c r="A27" s="31" t="n">
        <v>23</v>
      </c>
      <c r="B27" s="32" t="inlineStr">
        <is>
          <t>M3 평와셔</t>
        </is>
      </c>
      <c r="C27" s="31" t="inlineStr">
        <is>
          <t>M3 (바깥지름 7)</t>
        </is>
      </c>
      <c r="D27" s="31" t="n">
        <v>15</v>
      </c>
      <c r="E27" s="32" t="inlineStr">
        <is>
          <t>개</t>
        </is>
      </c>
      <c r="F27" s="33" t="n"/>
      <c r="G27" s="34">
        <f>D27*F27</f>
        <v/>
      </c>
      <c r="H27" s="32" t="inlineStr">
        <is>
          <t>아크릴 고정 나사 밑 14 (균열 방지) + 속선 누름 1</t>
        </is>
      </c>
      <c r="I27" s="32" t="inlineStr">
        <is>
          <t>확정</t>
        </is>
      </c>
      <c r="J27" s="32" t="inlineStr">
        <is>
          <t>단가 미확인</t>
        </is>
      </c>
    </row>
    <row r="28" ht="29.25" customHeight="1" s="16">
      <c r="A28" s="31" t="n">
        <v>24</v>
      </c>
      <c r="B28" s="32" t="inlineStr">
        <is>
          <t>M4 렌치볼트 + 너트</t>
        </is>
      </c>
      <c r="C28" s="31" t="inlineStr">
        <is>
          <t>M4×16</t>
        </is>
      </c>
      <c r="D28" s="31" t="n">
        <v>4</v>
      </c>
      <c r="E28" s="32" t="inlineStr">
        <is>
          <t>세트</t>
        </is>
      </c>
      <c r="F28" s="33" t="n"/>
      <c r="G28" s="34">
        <f>D28*F28</f>
        <v/>
      </c>
      <c r="H28" s="32" t="inlineStr">
        <is>
          <t>클러치 포크 브래킷 (너트는 끝판 A 안쪽 홈)</t>
        </is>
      </c>
      <c r="I28" s="32" t="inlineStr">
        <is>
          <t>확정</t>
        </is>
      </c>
      <c r="J28" s="32" t="inlineStr">
        <is>
          <t>단가 미확인</t>
        </is>
      </c>
    </row>
    <row r="29" ht="29.25" customHeight="1" s="16">
      <c r="A29" s="31" t="n">
        <v>25</v>
      </c>
      <c r="B29" s="32" t="inlineStr">
        <is>
          <t>M4 렌치볼트 + 너트</t>
        </is>
      </c>
      <c r="C29" s="31" t="inlineStr">
        <is>
          <t>M4×25</t>
        </is>
      </c>
      <c r="D29" s="31" t="n">
        <v>4</v>
      </c>
      <c r="E29" s="32" t="inlineStr">
        <is>
          <t>세트</t>
        </is>
      </c>
      <c r="F29" s="33" t="n"/>
      <c r="G29" s="34">
        <f>D29*F29</f>
        <v/>
      </c>
      <c r="H29" s="32" t="inlineStr">
        <is>
          <t>페달 발판 (너트는 팔 앞면 홈)</t>
        </is>
      </c>
      <c r="I29" s="32" t="inlineStr">
        <is>
          <t>확정</t>
        </is>
      </c>
      <c r="J29" s="32" t="inlineStr">
        <is>
          <t>단가 미확인</t>
        </is>
      </c>
    </row>
    <row r="30" ht="29.25" customHeight="1" s="16">
      <c r="A30" s="31" t="n">
        <v>26</v>
      </c>
      <c r="B30" s="32" t="inlineStr">
        <is>
          <t>M4 렌치볼트 + 너트</t>
        </is>
      </c>
      <c r="C30" s="31" t="inlineStr">
        <is>
          <t>M4×30</t>
        </is>
      </c>
      <c r="D30" s="31" t="n">
        <v>20</v>
      </c>
      <c r="E30" s="32" t="inlineStr">
        <is>
          <t>세트</t>
        </is>
      </c>
      <c r="F30" s="33" t="n"/>
      <c r="G30" s="34">
        <f>D30*F30</f>
        <v/>
      </c>
      <c r="H30" s="32" t="inlineStr">
        <is>
          <t>케이지 4, 피벗 8, 게이트 4, 받침 브래킷 4</t>
        </is>
      </c>
      <c r="I30" s="32" t="inlineStr">
        <is>
          <t>확정</t>
        </is>
      </c>
      <c r="J30" s="32" t="inlineStr">
        <is>
          <t>단가 미확인</t>
        </is>
      </c>
    </row>
    <row r="31" ht="29.25" customHeight="1" s="16">
      <c r="A31" s="31" t="n">
        <v>27</v>
      </c>
      <c r="B31" s="32" t="inlineStr">
        <is>
          <t>M4 렌치볼트 + 너트</t>
        </is>
      </c>
      <c r="C31" s="31" t="inlineStr">
        <is>
          <t>M4×60</t>
        </is>
      </c>
      <c r="D31" s="31" t="n">
        <v>3</v>
      </c>
      <c r="E31" s="32" t="inlineStr">
        <is>
          <t>세트</t>
        </is>
      </c>
      <c r="F31" s="33" t="n"/>
      <c r="G31" s="34">
        <f>D31*F31</f>
        <v/>
      </c>
      <c r="H31" s="32" t="inlineStr">
        <is>
          <t>클러치 기둥</t>
        </is>
      </c>
      <c r="I31" s="32" t="inlineStr">
        <is>
          <t>확정</t>
        </is>
      </c>
      <c r="J31" s="32" t="inlineStr">
        <is>
          <t>단가 미확인</t>
        </is>
      </c>
    </row>
    <row r="32" ht="29.25" customHeight="1" s="16">
      <c r="A32" s="31" t="n">
        <v>28</v>
      </c>
      <c r="B32" s="32" t="inlineStr">
        <is>
          <t>M5 렌치볼트 + 너트</t>
        </is>
      </c>
      <c r="C32" s="31" t="inlineStr">
        <is>
          <t>M5×10</t>
        </is>
      </c>
      <c r="D32" s="31" t="n">
        <v>3</v>
      </c>
      <c r="E32" s="32" t="inlineStr">
        <is>
          <t>세트</t>
        </is>
      </c>
      <c r="F32" s="33" t="n"/>
      <c r="G32" s="34">
        <f>D32*F32</f>
        <v/>
      </c>
      <c r="H32" s="32" t="inlineStr">
        <is>
          <t>클러치 조절나사 (끝까지 조임 = 설정)</t>
        </is>
      </c>
      <c r="I32" s="32" t="inlineStr">
        <is>
          <t>확정</t>
        </is>
      </c>
      <c r="J32" s="32" t="inlineStr">
        <is>
          <t>M5×12 이상 금지 (미끄럼 토크가 1.05N·m 까지 올라가 기어 설계 하중 초과)</t>
        </is>
      </c>
    </row>
    <row r="33" ht="29.25" customHeight="1" s="16">
      <c r="A33" s="31" t="n">
        <v>29</v>
      </c>
      <c r="B33" s="32" t="inlineStr">
        <is>
          <t>M5 렌치볼트 + 너트</t>
        </is>
      </c>
      <c r="C33" s="31" t="inlineStr">
        <is>
          <t>M5×20</t>
        </is>
      </c>
      <c r="D33" s="31" t="n">
        <v>3</v>
      </c>
      <c r="E33" s="32" t="inlineStr">
        <is>
          <t>세트</t>
        </is>
      </c>
      <c r="F33" s="33" t="n"/>
      <c r="G33" s="34">
        <f>D33*F33</f>
        <v/>
      </c>
      <c r="H33" s="32" t="inlineStr">
        <is>
          <t>클러치 릴리스 누름 볼트</t>
        </is>
      </c>
      <c r="I33" s="32" t="inlineStr">
        <is>
          <t>확정</t>
        </is>
      </c>
      <c r="J33" s="32" t="inlineStr">
        <is>
          <t>단가 미확인</t>
        </is>
      </c>
    </row>
    <row r="34" ht="29.25" customHeight="1" s="16">
      <c r="A34" s="31" t="n">
        <v>30</v>
      </c>
      <c r="B34" s="32" t="inlineStr">
        <is>
          <t>M5 렌치볼트 + 평와셔</t>
        </is>
      </c>
      <c r="C34" s="31" t="inlineStr">
        <is>
          <t>M5×8 3개 + M5×12 3개 + M5 와셔 3개</t>
        </is>
      </c>
      <c r="D34" s="31" t="n">
        <v>1</v>
      </c>
      <c r="E34" s="32" t="inlineStr">
        <is>
          <t>세트</t>
        </is>
      </c>
      <c r="F34" s="33" t="n"/>
      <c r="G34" s="34">
        <f>D34*F34</f>
        <v/>
      </c>
      <c r="H34" s="32" t="inlineStr">
        <is>
          <t>클러치 미끄럼 토크 조정 (설계서 8장 시험 3: 크면 M5×8, 작으면 M5×12 + 와셔 1장)</t>
        </is>
      </c>
      <c r="I34" s="32" t="inlineStr">
        <is>
          <t>선택</t>
        </is>
      </c>
      <c r="J34" s="32" t="inlineStr">
        <is>
          <t>시험 3 이 합격이면 안 씀 · 다시 주문하지 않으려면 같이 구매</t>
        </is>
      </c>
    </row>
    <row r="35" ht="29.25" customHeight="1" s="16">
      <c r="A35" s="31" t="n">
        <v>31</v>
      </c>
      <c r="B35" s="32" t="inlineStr">
        <is>
          <t>M5 렌치볼트 + 나일론 너트</t>
        </is>
      </c>
      <c r="C35" s="31" t="inlineStr">
        <is>
          <t>M5×70</t>
        </is>
      </c>
      <c r="D35" s="31" t="n">
        <v>1</v>
      </c>
      <c r="E35" s="32" t="inlineStr">
        <is>
          <t>세트</t>
        </is>
      </c>
      <c r="F35" s="33" t="n"/>
      <c r="G35" s="34">
        <f>D35*F35</f>
        <v/>
      </c>
      <c r="H35" s="32" t="inlineStr">
        <is>
          <t>클러치 포크 피벗 (팔·볼·보스 관통)</t>
        </is>
      </c>
      <c r="I35" s="32" t="inlineStr">
        <is>
          <t>확정</t>
        </is>
      </c>
      <c r="J35" s="32" t="inlineStr">
        <is>
          <t>너트는 손으로 닿을 때까지만 (세게 조이면 포크가 안 돎) · 단가 미확인</t>
        </is>
      </c>
    </row>
    <row r="36" ht="29.25" customHeight="1" s="16">
      <c r="A36" s="31" t="n">
        <v>32</v>
      </c>
      <c r="B36" s="32" t="inlineStr">
        <is>
          <t>M6 렌치볼트</t>
        </is>
      </c>
      <c r="C36" s="31" t="inlineStr">
        <is>
          <t>M6×25</t>
        </is>
      </c>
      <c r="D36" s="31" t="n">
        <v>6</v>
      </c>
      <c r="E36" s="32" t="inlineStr">
        <is>
          <t>개</t>
        </is>
      </c>
      <c r="F36" s="33" t="n"/>
      <c r="G36" s="34">
        <f>D36*F36</f>
        <v/>
      </c>
      <c r="H36" s="32" t="inlineStr">
        <is>
          <t>모터 받침 4 (45 밑면 너트), 페달 피벗 2</t>
        </is>
      </c>
      <c r="I36" s="32" t="inlineStr">
        <is>
          <t>확정</t>
        </is>
      </c>
      <c r="J36" s="32" t="inlineStr">
        <is>
          <t>M6×30 이상 금지 (모터 받침: MDF 에 닿음, 페달: 가변저항 축에 닿음) · 단가 미확인</t>
        </is>
      </c>
    </row>
    <row r="37" ht="29.25" customHeight="1" s="16">
      <c r="A37" s="31" t="n">
        <v>33</v>
      </c>
      <c r="B37" s="32" t="inlineStr">
        <is>
          <t>M6 너트</t>
        </is>
      </c>
      <c r="C37" s="31" t="inlineStr">
        <is>
          <t>M6 (맞변 10)</t>
        </is>
      </c>
      <c r="D37" s="31" t="n">
        <v>4</v>
      </c>
      <c r="E37" s="32" t="inlineStr">
        <is>
          <t>개</t>
        </is>
      </c>
      <c r="F37" s="33" t="n"/>
      <c r="G37" s="34">
        <f>D37*F37</f>
        <v/>
      </c>
      <c r="H37" s="32" t="inlineStr">
        <is>
          <t>모터 받침 (45 밑면 홈)</t>
        </is>
      </c>
      <c r="I37" s="32" t="inlineStr">
        <is>
          <t>확정</t>
        </is>
      </c>
      <c r="J37" s="32" t="inlineStr">
        <is>
          <t>단가 미확인</t>
        </is>
      </c>
    </row>
    <row r="38" ht="29.25" customHeight="1" s="16">
      <c r="A38" s="31" t="n">
        <v>34</v>
      </c>
      <c r="B38" s="32" t="inlineStr">
        <is>
          <t>M6 나일론 너트</t>
        </is>
      </c>
      <c r="C38" s="31" t="inlineStr">
        <is>
          <t>M6 (DIN985, 두께 6)</t>
        </is>
      </c>
      <c r="D38" s="31" t="n">
        <v>2</v>
      </c>
      <c r="E38" s="32" t="inlineStr">
        <is>
          <t>개</t>
        </is>
      </c>
      <c r="F38" s="33" t="n"/>
      <c r="G38" s="34">
        <f>D38*F38</f>
        <v/>
      </c>
      <c r="H38" s="32" t="inlineStr">
        <is>
          <t>페달 피벗 (팔 너트 홈, 볼트가 팔과 같이 돎 → 풀리지 않음)</t>
        </is>
      </c>
      <c r="I38" s="32" t="inlineStr">
        <is>
          <t>확정</t>
        </is>
      </c>
      <c r="J38" s="32" t="inlineStr">
        <is>
          <t>단가 미확인</t>
        </is>
      </c>
    </row>
    <row r="39" ht="29.25" customHeight="1" s="16">
      <c r="A39" s="31" t="n">
        <v>35</v>
      </c>
      <c r="B39" s="32" t="inlineStr">
        <is>
          <t>목재 나사</t>
        </is>
      </c>
      <c r="C39" s="31" t="inlineStr">
        <is>
          <t>4×16</t>
        </is>
      </c>
      <c r="D39" s="31" t="n">
        <v>24</v>
      </c>
      <c r="E39" s="32" t="inlineStr">
        <is>
          <t>개</t>
        </is>
      </c>
      <c r="F39" s="33" t="n"/>
      <c r="G39" s="34">
        <f>D39*F39</f>
        <v/>
      </c>
      <c r="H39" s="32" t="inlineStr">
        <is>
          <t>받침 브래킷 8, 클러치 덮개 4, 모터 받침 4, 페달 받침 8</t>
        </is>
      </c>
      <c r="I39" s="32" t="inlineStr">
        <is>
          <t>확정</t>
        </is>
      </c>
      <c r="J39" s="32" t="inlineStr">
        <is>
          <t>MDF 12T 에 10~11 박힘 · 4×20 이상은 밑으로 나옴 · 단가 미확인</t>
        </is>
      </c>
    </row>
    <row r="40" ht="29.25" customHeight="1" s="16">
      <c r="A40" s="31" t="n">
        <v>36</v>
      </c>
      <c r="B40" s="32" t="inlineStr">
        <is>
          <t>에폭시 접착제</t>
        </is>
      </c>
      <c r="C40" s="31" t="inlineStr">
        <is>
          <t>2액형</t>
        </is>
      </c>
      <c r="D40" s="31" t="n">
        <v>1</v>
      </c>
      <c r="E40" s="32" t="inlineStr">
        <is>
          <t>개</t>
        </is>
      </c>
      <c r="F40" s="33" t="n"/>
      <c r="G40" s="34">
        <f>D40*F40</f>
        <v/>
      </c>
      <c r="H40" s="32" t="inlineStr">
        <is>
          <t>레버봉-핑거·손잡이, 아이들러 축, 클러치 와셔-허브, 고무 쿠션, 페달 가변저항 2</t>
        </is>
      </c>
      <c r="I40" s="32" t="inlineStr">
        <is>
          <t>확정</t>
        </is>
      </c>
      <c r="J40" s="32" t="inlineStr">
        <is>
          <t>단가 미확인</t>
        </is>
      </c>
    </row>
    <row r="41" ht="29.25" customHeight="1" s="16">
      <c r="A41" s="31" t="n">
        <v>37</v>
      </c>
      <c r="B41" s="32" t="inlineStr">
        <is>
          <t>순간접착제</t>
        </is>
      </c>
      <c r="C41" s="31" t="inlineStr">
        <is>
          <t>일반</t>
        </is>
      </c>
      <c r="D41" s="31" t="n">
        <v>1</v>
      </c>
      <c r="E41" s="32" t="inlineStr">
        <is>
          <t>개</t>
        </is>
      </c>
      <c r="F41" s="33" t="n"/>
      <c r="G41" s="34">
        <f>D41*F41</f>
        <v/>
      </c>
      <c r="H41" s="32" t="inlineStr">
        <is>
          <t>덮개 스위치, 홀센서, 자석</t>
        </is>
      </c>
      <c r="I41" s="32" t="inlineStr">
        <is>
          <t>확정</t>
        </is>
      </c>
      <c r="J41" s="32" t="inlineStr">
        <is>
          <t>보유하면 생략</t>
        </is>
      </c>
    </row>
    <row r="42" ht="29.25" customHeight="1" s="16">
      <c r="A42" s="31" t="n">
        <v>38</v>
      </c>
      <c r="B42" s="32" t="inlineStr">
        <is>
          <t>자전거 브레이크 케이블 세트</t>
        </is>
      </c>
      <c r="C42" s="31" t="inlineStr">
        <is>
          <t>속선(니플 달린 것) 2m + 아우터 바깥지름 5 2m + 끝 캡</t>
        </is>
      </c>
      <c r="D42" s="31" t="n">
        <v>1</v>
      </c>
      <c r="E42" s="32" t="inlineStr">
        <is>
          <t>세트</t>
        </is>
      </c>
      <c r="F42" s="33" t="n"/>
      <c r="G42" s="34">
        <f>D42*F42</f>
        <v/>
      </c>
      <c r="H42" s="32" t="inlineStr">
        <is>
          <t>클러치 페달 → 클러치 포크</t>
        </is>
      </c>
      <c r="I42" s="32" t="inlineStr">
        <is>
          <t>확정</t>
        </is>
      </c>
      <c r="J42" s="32" t="inlineStr">
        <is>
          <t>아우터가 끝판 B 구멍 Ø6·페달 받침 Ø5.6 에 들어가야 함 · 니플은 페달 팔 Ø3.4 구멍보다 커야 함</t>
        </is>
      </c>
    </row>
    <row r="43" ht="29.25" customHeight="1" s="16">
      <c r="A43" s="31" t="n">
        <v>39</v>
      </c>
      <c r="B43" s="32" t="inlineStr">
        <is>
          <t>MDF 판</t>
        </is>
      </c>
      <c r="C43" s="31" t="inlineStr">
        <is>
          <t>12T 300×1200 재단</t>
        </is>
      </c>
      <c r="D43" s="31" t="n">
        <v>1</v>
      </c>
      <c r="E43" s="32" t="inlineStr">
        <is>
          <t>장</t>
        </is>
      </c>
      <c r="F43" s="33" t="n">
        <v>9600</v>
      </c>
      <c r="G43" s="34">
        <f>D43*F43</f>
        <v/>
      </c>
      <c r="H43" s="32" t="inlineStr">
        <is>
          <t>바닥판 750×300 (모터·클러치 덮개 포함) + 남는 450×300 = 페달 받침판 (바닥)</t>
        </is>
      </c>
      <c r="I43" s="32" t="inlineStr">
        <is>
          <t>확정</t>
        </is>
      </c>
      <c r="J43" s="32" t="inlineStr">
        <is>
          <t>v3 단가 · 쿠팡 /71452005</t>
        </is>
      </c>
    </row>
    <row r="44" ht="29.25" customHeight="1" s="16">
      <c r="A44" s="31" t="n">
        <v>40</v>
      </c>
      <c r="B44" s="32" t="inlineStr">
        <is>
          <t>투명 아크릴</t>
        </is>
      </c>
      <c r="C44" s="31" t="inlineStr">
        <is>
          <t>A3 3T</t>
        </is>
      </c>
      <c r="D44" s="31" t="n">
        <v>3</v>
      </c>
      <c r="E44" s="32" t="inlineStr">
        <is>
          <t>장</t>
        </is>
      </c>
      <c r="F44" s="33" t="n">
        <v>9000</v>
      </c>
      <c r="G44" s="34">
        <f>D44*F44</f>
        <v/>
      </c>
      <c r="H44" s="32" t="inlineStr">
        <is>
          <t>덮개 윗판 250×321, 옆판 200×321 × 2</t>
        </is>
      </c>
      <c r="I44" s="32" t="inlineStr">
        <is>
          <t>확정</t>
        </is>
      </c>
      <c r="J44" s="32" t="inlineStr">
        <is>
          <t>v3 단가 · 쿠팡 /9593337115 · 재단 주문 가능하면 치수대로</t>
        </is>
      </c>
    </row>
    <row r="45" ht="29.25" customHeight="1" s="16">
      <c r="A45" s="31" t="n">
        <v>41</v>
      </c>
      <c r="B45" s="32" t="inlineStr">
        <is>
          <t>아두이노 레오나르도 R3 + 케이블</t>
        </is>
      </c>
      <c r="C45" s="31" t="inlineStr">
        <is>
          <t>ATmega32u4</t>
        </is>
      </c>
      <c r="D45" s="31" t="n">
        <v>1</v>
      </c>
      <c r="E45" s="32" t="inlineStr">
        <is>
          <t>개</t>
        </is>
      </c>
      <c r="F45" s="33" t="n">
        <v>9200</v>
      </c>
      <c r="G45" s="34">
        <f>D45*F45</f>
        <v/>
      </c>
      <c r="H45" s="32" t="inlineStr">
        <is>
          <t>센서 → PC 게임 입력 + 모터 허가 출력</t>
        </is>
      </c>
      <c r="I45" s="32" t="inlineStr">
        <is>
          <t>확정</t>
        </is>
      </c>
      <c r="J45" s="32" t="inlineStr">
        <is>
          <t>v3 단가 · 쿠팡 /1119152790</t>
        </is>
      </c>
    </row>
    <row r="46" ht="29.25" customHeight="1" s="16">
      <c r="A46" s="31" t="n">
        <v>42</v>
      </c>
      <c r="B46" s="32" t="inlineStr">
        <is>
          <t>홀센서 A3144</t>
        </is>
      </c>
      <c r="C46" s="31" t="inlineStr">
        <is>
          <t>3핀 소자</t>
        </is>
      </c>
      <c r="D46" s="31" t="n">
        <v>7</v>
      </c>
      <c r="E46" s="32" t="inlineStr">
        <is>
          <t>개</t>
        </is>
      </c>
      <c r="F46" s="33" t="n">
        <v>90</v>
      </c>
      <c r="G46" s="34">
        <f>D46*F46</f>
        <v/>
      </c>
      <c r="H46" s="32" t="inlineStr">
        <is>
          <t>기어 위치 6 + 출력 rpm 1</t>
        </is>
      </c>
      <c r="I46" s="32" t="inlineStr">
        <is>
          <t>확정</t>
        </is>
      </c>
      <c r="J46" s="32" t="inlineStr">
        <is>
          <t>v3 단가 · 쿠팡 /8520223332</t>
        </is>
      </c>
    </row>
    <row r="47" ht="29.25" customHeight="1" s="16">
      <c r="A47" s="31" t="n">
        <v>43</v>
      </c>
      <c r="B47" s="32" t="inlineStr">
        <is>
          <t>네오디뮴 자석</t>
        </is>
      </c>
      <c r="C47" s="31" t="inlineStr">
        <is>
          <t>Ø6×3mm 40개</t>
        </is>
      </c>
      <c r="D47" s="31" t="n">
        <v>1</v>
      </c>
      <c r="E47" s="32" t="inlineStr">
        <is>
          <t>봉</t>
        </is>
      </c>
      <c r="F47" s="33" t="n">
        <v>11300</v>
      </c>
      <c r="G47" s="34">
        <f>D47*F47</f>
        <v/>
      </c>
      <c r="H47" s="32" t="inlineStr">
        <is>
          <t>러그 3 + 표시 바퀴 4</t>
        </is>
      </c>
      <c r="I47" s="32" t="inlineStr">
        <is>
          <t>확정</t>
        </is>
      </c>
      <c r="J47" s="32" t="inlineStr">
        <is>
          <t>v3 단가 · 쿠팡 /7119515778</t>
        </is>
      </c>
    </row>
    <row r="48" ht="29.25" customHeight="1" s="16">
      <c r="A48" s="31" t="n">
        <v>44</v>
      </c>
      <c r="B48" s="32" t="inlineStr">
        <is>
          <t>가변저항 B10K</t>
        </is>
      </c>
      <c r="C48" s="31" t="inlineStr">
        <is>
          <t>회전형 16mm, 축 Ø6 반달(D컷, 평면까지 4.5~4.6), 축 길이 15mm(장착면부터), 부싱 M7</t>
        </is>
      </c>
      <c r="D48" s="31" t="n">
        <v>3</v>
      </c>
      <c r="E48" s="32" t="inlineStr">
        <is>
          <t>개</t>
        </is>
      </c>
      <c r="F48" s="33" t="n"/>
      <c r="G48" s="34">
        <f>D48*F48</f>
        <v/>
      </c>
      <c r="H48" s="32" t="inlineStr">
        <is>
          <t>클러치·브레이크 페달 2 + 핸들 1</t>
        </is>
      </c>
      <c r="I48" s="32" t="inlineStr">
        <is>
          <t>확정</t>
        </is>
      </c>
      <c r="J48" s="32" t="inlineStr">
        <is>
          <t>축이 톱니(널링)형이거나 20mm 면 페달에 안 맞음 · 핸들은 센서 없음 확인(2026-10-20) → 3개 · 도착 후 실측해서 페달 출력</t>
        </is>
      </c>
    </row>
    <row r="49" ht="29.25" customHeight="1" s="16">
      <c r="A49" s="31" t="n">
        <v>45</v>
      </c>
      <c r="B49" s="32" t="inlineStr">
        <is>
          <t>마이크로스위치</t>
        </is>
      </c>
      <c r="C49" s="31" t="inlineStr">
        <is>
          <t>KW-11-3Z 레버형</t>
        </is>
      </c>
      <c r="D49" s="31" t="n">
        <v>2</v>
      </c>
      <c r="E49" s="32" t="inlineStr">
        <is>
          <t>개</t>
        </is>
      </c>
      <c r="F49" s="33" t="n">
        <v>400</v>
      </c>
      <c r="G49" s="34">
        <f>D49*F49</f>
        <v/>
      </c>
      <c r="H49" s="32" t="inlineStr">
        <is>
          <t>덮개 열림 감지 1 + 여분 1</t>
        </is>
      </c>
      <c r="I49" s="32" t="inlineStr">
        <is>
          <t>확정</t>
        </is>
      </c>
      <c r="J49" s="32" t="inlineStr">
        <is>
          <t>v3 단가 · 쿠팡 /9167678186</t>
        </is>
      </c>
    </row>
    <row r="50" ht="29.25" customHeight="1" s="16">
      <c r="A50" s="31" t="n">
        <v>46</v>
      </c>
      <c r="B50" s="32" t="inlineStr">
        <is>
          <t>점퍼 케이블</t>
        </is>
      </c>
      <c r="C50" s="31" t="inlineStr">
        <is>
          <t>M-F 40P 40cm</t>
        </is>
      </c>
      <c r="D50" s="31" t="n">
        <v>1</v>
      </c>
      <c r="E50" s="32" t="inlineStr">
        <is>
          <t>개</t>
        </is>
      </c>
      <c r="F50" s="33" t="n">
        <v>5300</v>
      </c>
      <c r="G50" s="34">
        <f>D50*F50</f>
        <v/>
      </c>
      <c r="H50" s="32" t="inlineStr">
        <is>
          <t>센서 배선</t>
        </is>
      </c>
      <c r="I50" s="32" t="inlineStr">
        <is>
          <t>확정</t>
        </is>
      </c>
      <c r="J50" s="32" t="inlineStr">
        <is>
          <t>v3 단가 · 쿠팡 /9699042565</t>
        </is>
      </c>
    </row>
    <row r="51" ht="29.25" customHeight="1" s="16">
      <c r="A51" s="31" t="n">
        <v>47</v>
      </c>
      <c r="B51" s="32" t="inlineStr">
        <is>
          <t>만능기판</t>
        </is>
      </c>
      <c r="C51" s="31" t="inlineStr">
        <is>
          <t>20개 묶음</t>
        </is>
      </c>
      <c r="D51" s="31" t="n">
        <v>1</v>
      </c>
      <c r="E51" s="32" t="inlineStr">
        <is>
          <t>봉</t>
        </is>
      </c>
      <c r="F51" s="33" t="n">
        <v>15000</v>
      </c>
      <c r="G51" s="34">
        <f>D51*F51</f>
        <v/>
      </c>
      <c r="H51" s="32" t="inlineStr">
        <is>
          <t>센서 배선</t>
        </is>
      </c>
      <c r="I51" s="32" t="inlineStr">
        <is>
          <t>확정</t>
        </is>
      </c>
      <c r="J51" s="32" t="inlineStr">
        <is>
          <t>v3 단가 · 쿠팡 /9661304796</t>
        </is>
      </c>
    </row>
    <row r="52" ht="29.25" customHeight="1" s="16">
      <c r="A52" s="31" t="n">
        <v>48</v>
      </c>
      <c r="B52" s="32" t="inlineStr">
        <is>
          <t>자동차 릴레이 + 소켓</t>
        </is>
      </c>
      <c r="C52" s="31" t="inlineStr">
        <is>
          <t>12V, 접점 40A, 4핀</t>
        </is>
      </c>
      <c r="D52" s="31" t="n">
        <v>1</v>
      </c>
      <c r="E52" s="32" t="inlineStr">
        <is>
          <t>개</t>
        </is>
      </c>
      <c r="F52" s="33" t="n"/>
      <c r="G52" s="34">
        <f>D52*F52</f>
        <v/>
      </c>
      <c r="H52" s="32" t="inlineStr">
        <is>
          <t>모터 전원 주 스위치</t>
        </is>
      </c>
      <c r="I52" s="32" t="inlineStr">
        <is>
          <t>확정</t>
        </is>
      </c>
      <c r="J52" s="32" t="inlineStr">
        <is>
          <t>검색어 "12V 40A 릴레이 소켓" · 코일 회로에 비상정지·덮개 스위치·5V 릴레이 모듈 직렬</t>
        </is>
      </c>
    </row>
    <row r="53" ht="29.25" customHeight="1" s="16">
      <c r="A53" s="31" t="n">
        <v>49</v>
      </c>
      <c r="B53" s="32" t="inlineStr">
        <is>
          <t>블레이드 퓨즈 + 인라인 홀더</t>
        </is>
      </c>
      <c r="C53" s="31" t="inlineStr">
        <is>
          <t>15A</t>
        </is>
      </c>
      <c r="D53" s="31" t="n">
        <v>1</v>
      </c>
      <c r="E53" s="32" t="inlineStr">
        <is>
          <t>세트</t>
        </is>
      </c>
      <c r="F53" s="33" t="n"/>
      <c r="G53" s="34">
        <f>D53*F53</f>
        <v/>
      </c>
      <c r="H53" s="32" t="inlineStr">
        <is>
          <t>배터리 + 단자 바로 옆</t>
        </is>
      </c>
      <c r="I53" s="32" t="inlineStr">
        <is>
          <t>확정</t>
        </is>
      </c>
      <c r="J53" s="32" t="inlineStr">
        <is>
          <t>여분 퓨즈 2개 권장</t>
        </is>
      </c>
    </row>
    <row r="54" ht="29.25" customHeight="1" s="16">
      <c r="A54" s="31" t="n">
        <v>50</v>
      </c>
      <c r="B54" s="32" t="inlineStr">
        <is>
          <t>비상정지 스위치</t>
        </is>
      </c>
      <c r="C54" s="31" t="inlineStr">
        <is>
          <t>버섯형, b접점(NC)</t>
        </is>
      </c>
      <c r="D54" s="31" t="n">
        <v>1</v>
      </c>
      <c r="E54" s="32" t="inlineStr">
        <is>
          <t>개</t>
        </is>
      </c>
      <c r="F54" s="33" t="n"/>
      <c r="G54" s="34">
        <f>D54*F54</f>
        <v/>
      </c>
      <c r="H54" s="32" t="inlineStr">
        <is>
          <t>운영자 비상 차단 (릴레이 코일 회로)</t>
        </is>
      </c>
      <c r="I54" s="32" t="inlineStr">
        <is>
          <t>확정</t>
        </is>
      </c>
      <c r="J54" s="32" t="inlineStr">
        <is>
          <t>단가 미확인</t>
        </is>
      </c>
    </row>
    <row r="55" ht="29.25" customHeight="1" s="16">
      <c r="A55" s="31" t="n">
        <v>51</v>
      </c>
      <c r="B55" s="32" t="inlineStr">
        <is>
          <t>5V 릴레이 모듈</t>
        </is>
      </c>
      <c r="C55" s="31" t="inlineStr">
        <is>
          <t>1채널</t>
        </is>
      </c>
      <c r="D55" s="31" t="n">
        <v>1</v>
      </c>
      <c r="E55" s="32" t="inlineStr">
        <is>
          <t>개</t>
        </is>
      </c>
      <c r="F55" s="33" t="n"/>
      <c r="G55" s="34">
        <f>D55*F55</f>
        <v/>
      </c>
      <c r="H55" s="32" t="inlineStr">
        <is>
          <t>아두이노 워치독 → 주 릴레이 코일 차단</t>
        </is>
      </c>
      <c r="I55" s="32" t="inlineStr">
        <is>
          <t>확정</t>
        </is>
      </c>
      <c r="J55" s="32" t="inlineStr">
        <is>
          <t>로우 트리거 기준. 하이 트리거면 펌웨어 RELAY_ACTIVE_LOW=false</t>
        </is>
      </c>
    </row>
    <row r="56" ht="29.25" customHeight="1" s="16">
      <c r="A56" s="31" t="n">
        <v>52</v>
      </c>
      <c r="B56" s="32" t="inlineStr">
        <is>
          <t>다이오드 1N4007</t>
        </is>
      </c>
      <c r="C56" s="31" t="inlineStr"/>
      <c r="D56" s="31" t="n">
        <v>2</v>
      </c>
      <c r="E56" s="32" t="inlineStr">
        <is>
          <t>개</t>
        </is>
      </c>
      <c r="F56" s="33" t="n"/>
      <c r="G56" s="34">
        <f>D56*F56</f>
        <v/>
      </c>
      <c r="H56" s="32" t="inlineStr">
        <is>
          <t>주 릴레이 코일 역기전력 흡수 1 + 여분 1</t>
        </is>
      </c>
      <c r="I56" s="32" t="inlineStr">
        <is>
          <t>확정</t>
        </is>
      </c>
      <c r="J56" s="32" t="inlineStr">
        <is>
          <t>내장 다이오드 릴레이면 생략</t>
        </is>
      </c>
    </row>
    <row r="57" ht="29.25" customHeight="1" s="16">
      <c r="A57" s="31" t="n">
        <v>53</v>
      </c>
      <c r="B57" s="32" t="inlineStr">
        <is>
          <t>전선</t>
        </is>
      </c>
      <c r="C57" s="31" t="inlineStr">
        <is>
          <t>1.5mm²(16AWG) 이상, 적·흑 각 2m</t>
        </is>
      </c>
      <c r="D57" s="31" t="n">
        <v>1</v>
      </c>
      <c r="E57" s="32" t="inlineStr">
        <is>
          <t>세트</t>
        </is>
      </c>
      <c r="F57" s="33" t="n"/>
      <c r="G57" s="34">
        <f>D57*F57</f>
        <v/>
      </c>
      <c r="H57" s="32" t="inlineStr">
        <is>
          <t>배터리-퓨즈-릴레이-모터 드라이버</t>
        </is>
      </c>
      <c r="I57" s="32" t="inlineStr">
        <is>
          <t>확정</t>
        </is>
      </c>
      <c r="J57" s="32" t="inlineStr">
        <is>
          <t>키트 배터리 선 16AWG 확인(2026-10-20) → 퓨즈 15A 유지</t>
        </is>
      </c>
    </row>
    <row r="58" ht="29.25" customHeight="1" s="16">
      <c r="A58" s="31" t="n">
        <v>54</v>
      </c>
      <c r="B58" s="32" t="inlineStr">
        <is>
          <t>압착 단자 세트</t>
        </is>
      </c>
      <c r="C58" s="31" t="inlineStr">
        <is>
          <t>250 규격(6.3mm) 절연 암 평형 단자 + 수축 튜브</t>
        </is>
      </c>
      <c r="D58" s="31" t="n">
        <v>1</v>
      </c>
      <c r="E58" s="32" t="inlineStr">
        <is>
          <t>세트</t>
        </is>
      </c>
      <c r="F58" s="33" t="n"/>
      <c r="G58" s="34">
        <f>D58*F58</f>
        <v/>
      </c>
      <c r="H58" s="32" t="inlineStr">
        <is>
          <t>퓨즈 홀더·릴레이 소켓 연결 (배터리 쪽은 키트 선 단자 재사용)</t>
        </is>
      </c>
      <c r="I58" s="32" t="inlineStr">
        <is>
          <t>확정</t>
        </is>
      </c>
      <c r="J58" s="32" t="inlineStr">
        <is>
          <t>배터리 단자 = 6.3mm 평형 탭(사진 확인) · 홀더·소켓에 단자 포함이면 생략</t>
        </is>
      </c>
    </row>
    <row r="59" ht="29.25" customHeight="1" s="16">
      <c r="A59" s="31" t="n">
        <v>55</v>
      </c>
      <c r="B59" s="32" t="inlineStr">
        <is>
          <t>저항</t>
        </is>
      </c>
      <c r="C59" s="31" t="inlineStr">
        <is>
          <t>10kΩ 1개 + 4.7kΩ 1개 (1/4W)</t>
        </is>
      </c>
      <c r="D59" s="31" t="n">
        <v>1</v>
      </c>
      <c r="E59" s="32" t="inlineStr">
        <is>
          <t>세트</t>
        </is>
      </c>
      <c r="F59" s="33" t="n"/>
      <c r="G59" s="34">
        <f>D59*F59</f>
        <v/>
      </c>
      <c r="H59" s="32" t="inlineStr">
        <is>
          <t>안전 회로 감지 (비상정지·덮개 뒤 12V → 아두이노 A4)</t>
        </is>
      </c>
      <c r="I59" s="32" t="inlineStr">
        <is>
          <t>확정</t>
        </is>
      </c>
      <c r="J59" s="32" t="inlineStr">
        <is>
          <t>풀었을 때 페달을 떼야 재시동 (펌웨어)</t>
        </is>
      </c>
    </row>
    <row r="60" ht="29.25" customHeight="1" s="16">
      <c r="A60" s="31" t="n">
        <v>56</v>
      </c>
      <c r="B60" s="32" t="inlineStr">
        <is>
          <t>PLA 필라멘트</t>
        </is>
      </c>
      <c r="C60" s="31" t="inlineStr">
        <is>
          <t>2.85mm, 1kg 롤</t>
        </is>
      </c>
      <c r="D60" s="31" t="n">
        <v>4</v>
      </c>
      <c r="E60" s="32" t="inlineStr">
        <is>
          <t>롤</t>
        </is>
      </c>
      <c r="F60" s="33" t="n"/>
      <c r="G60" s="34">
        <f>D60*F60</f>
        <v/>
      </c>
      <c r="H60" s="32" t="inlineStr">
        <is>
          <t>출력 예상 4.05kg + 실패 여유 15% − 보유 750g 롤 1개</t>
        </is>
      </c>
      <c r="I60" s="32" t="inlineStr">
        <is>
          <t>확정</t>
        </is>
      </c>
      <c r="J60" s="32" t="inlineStr">
        <is>
          <t>PrusaSlicer 추정 (Cura 와 다를 수 있음) · 단가 미확인</t>
        </is>
      </c>
    </row>
    <row r="61" ht="29.25" customHeight="1" s="16">
      <c r="A61" s="31" t="n">
        <v>57</v>
      </c>
      <c r="B61" s="32" t="inlineStr">
        <is>
          <t>육각 렌치 세트</t>
        </is>
      </c>
      <c r="C61" s="31" t="inlineStr">
        <is>
          <t>2.5·3·4·5mm 포함</t>
        </is>
      </c>
      <c r="D61" s="31" t="n">
        <v>1</v>
      </c>
      <c r="E61" s="32" t="inlineStr">
        <is>
          <t>세트</t>
        </is>
      </c>
      <c r="F61" s="33" t="n"/>
      <c r="G61" s="34">
        <f>D61*F61</f>
        <v/>
      </c>
      <c r="H61" s="32" t="inlineStr">
        <is>
          <t>렌치볼트 M3~M6, 무두볼트</t>
        </is>
      </c>
      <c r="I61" s="32" t="inlineStr">
        <is>
          <t>선택</t>
        </is>
      </c>
      <c r="J61" s="32" t="inlineStr">
        <is>
          <t>보유하면 생략</t>
        </is>
      </c>
    </row>
    <row r="62" ht="29.25" customHeight="1" s="16">
      <c r="A62" s="31" t="n">
        <v>58</v>
      </c>
      <c r="B62" s="32" t="inlineStr">
        <is>
          <t>드릴 날</t>
        </is>
      </c>
      <c r="C62" s="31" t="inlineStr">
        <is>
          <t>Ø3.4 (전동 드릴용)</t>
        </is>
      </c>
      <c r="D62" s="31" t="n">
        <v>1</v>
      </c>
      <c r="E62" s="32" t="inlineStr">
        <is>
          <t>개</t>
        </is>
      </c>
      <c r="F62" s="33" t="n"/>
      <c r="G62" s="34">
        <f>D62*F62</f>
        <v/>
      </c>
      <c r="H62" s="32" t="inlineStr">
        <is>
          <t>아크릴 나사 구멍 14 (설계서 5장 위치)</t>
        </is>
      </c>
      <c r="I62" s="32" t="inlineStr">
        <is>
          <t>선택</t>
        </is>
      </c>
      <c r="J62" s="32" t="inlineStr">
        <is>
          <t>드릴이 없으면 재단 업체에 구멍까지 주문</t>
        </is>
      </c>
    </row>
    <row r="63" ht="29.25" customHeight="1" s="16">
      <c r="A63" s="31" t="n">
        <v>59</v>
      </c>
      <c r="B63" s="32" t="inlineStr">
        <is>
          <t>납땜 인두 + 실납</t>
        </is>
      </c>
      <c r="C63" s="31" t="inlineStr"/>
      <c r="D63" s="31" t="n">
        <v>1</v>
      </c>
      <c r="E63" s="32" t="inlineStr">
        <is>
          <t>세트</t>
        </is>
      </c>
      <c r="F63" s="33" t="n"/>
      <c r="G63" s="34">
        <f>D63*F63</f>
        <v/>
      </c>
      <c r="H63" s="32" t="inlineStr">
        <is>
          <t>만능기판 (분압 저항·다이오드·배선)</t>
        </is>
      </c>
      <c r="I63" s="32" t="inlineStr">
        <is>
          <t>선택</t>
        </is>
      </c>
      <c r="J63" s="32" t="inlineStr">
        <is>
          <t>보유하면 생략</t>
        </is>
      </c>
    </row>
    <row r="64" ht="29.25" customHeight="1" s="16">
      <c r="A64" s="31" t="n">
        <v>60</v>
      </c>
      <c r="B64" s="32" t="inlineStr">
        <is>
          <t>걸이 저울</t>
        </is>
      </c>
      <c r="C64" s="31" t="inlineStr">
        <is>
          <t>0~5kg, 10g 단위</t>
        </is>
      </c>
      <c r="D64" s="31" t="n">
        <v>1</v>
      </c>
      <c r="E64" s="32" t="inlineStr">
        <is>
          <t>개</t>
        </is>
      </c>
      <c r="F64" s="33" t="n"/>
      <c r="G64" s="34">
        <f>D64*F64</f>
        <v/>
      </c>
      <c r="H64" s="32" t="inlineStr">
        <is>
          <t>클러치 미끄럼 토크·끌림 토크 측정</t>
        </is>
      </c>
      <c r="I64" s="32" t="inlineStr">
        <is>
          <t>선택</t>
        </is>
      </c>
      <c r="J64" s="32" t="inlineStr">
        <is>
          <t>보유하면 생략</t>
        </is>
      </c>
    </row>
    <row r="65" ht="29.25" customHeight="1" s="16">
      <c r="A65" s="31" t="n">
        <v>61</v>
      </c>
      <c r="B65" s="32" t="inlineStr">
        <is>
          <t>디지털 캘리퍼스</t>
        </is>
      </c>
      <c r="C65" s="31" t="inlineStr">
        <is>
          <t>0.01mm 표시, 150mm</t>
        </is>
      </c>
      <c r="D65" s="31" t="n">
        <v>1</v>
      </c>
      <c r="E65" s="32" t="inlineStr">
        <is>
          <t>개</t>
        </is>
      </c>
      <c r="F65" s="33" t="n"/>
      <c r="G65" s="34">
        <f>D65*F65</f>
        <v/>
      </c>
      <c r="H65" s="32" t="inlineStr">
        <is>
          <t>쿠폰·핀 구멍·축 지름 확인</t>
        </is>
      </c>
      <c r="I65" s="32" t="inlineStr">
        <is>
          <t>확정</t>
        </is>
      </c>
      <c r="J65" s="32" t="inlineStr">
        <is>
          <t>보유하면 생략</t>
        </is>
      </c>
    </row>
    <row r="66" ht="29.25" customHeight="1" s="16">
      <c r="A66" s="31" t="n">
        <v>62</v>
      </c>
      <c r="B66" s="32" t="inlineStr">
        <is>
          <t>배송비</t>
        </is>
      </c>
      <c r="C66" s="31" t="inlineStr">
        <is>
          <t>새 판매처 포함</t>
        </is>
      </c>
      <c r="D66" s="31" t="n">
        <v>1</v>
      </c>
      <c r="E66" s="32" t="inlineStr">
        <is>
          <t>식</t>
        </is>
      </c>
      <c r="F66" s="33" t="n"/>
      <c r="G66" s="34">
        <f>D66*F66</f>
        <v/>
      </c>
      <c r="H66" s="32" t="n"/>
      <c r="I66" s="32" t="inlineStr">
        <is>
          <t>확정</t>
        </is>
      </c>
      <c r="J66" s="32" t="inlineStr">
        <is>
          <t>v3 는 22,900원 · 새 항목 판매처에 따라 달라짐 (미확인)</t>
        </is>
      </c>
    </row>
    <row r="67">
      <c r="B67" s="38" t="inlineStr">
        <is>
          <t>합계 (확정 항목, 단가 입력된 것만)</t>
        </is>
      </c>
      <c r="G67" s="39">
        <f>SUMIFS(G5:G66,I5:I66,"확정")</f>
        <v/>
      </c>
    </row>
    <row r="68">
      <c r="B68" s="38" t="inlineStr">
        <is>
          <t>합계 (선택 포함)</t>
        </is>
      </c>
      <c r="G68" s="39">
        <f>SUM(G5:G66)</f>
        <v/>
      </c>
    </row>
    <row r="69">
      <c r="B69" s="38" t="inlineStr">
        <is>
          <t>단가 미확인 항목 수</t>
        </is>
      </c>
      <c r="G69" s="40">
        <f>COUNTBLANK(F5:F66)</f>
        <v/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  <hyperlink xmlns:r="http://schemas.openxmlformats.org/officeDocument/2006/relationships" ref="B63" r:id="rId59"/>
    <hyperlink xmlns:r="http://schemas.openxmlformats.org/officeDocument/2006/relationships" ref="B64" r:id="rId60"/>
    <hyperlink xmlns:r="http://schemas.openxmlformats.org/officeDocument/2006/relationships" ref="B65" r:id="rId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7" min="1" max="1"/>
    <col width="20" customWidth="1" style="27" min="2" max="2"/>
    <col width="34" customWidth="1" style="27" min="3" max="3"/>
    <col width="6" customWidth="1" style="27" min="4" max="4"/>
    <col width="11" customWidth="1" style="27" min="6" max="6"/>
    <col width="12" customWidth="1" style="27" min="7" max="7"/>
    <col width="24" customWidth="1" style="27" min="8" max="8"/>
    <col width="10" customWidth="1" style="27" min="9" max="9"/>
    <col width="48" customWidth="1" style="27" min="10" max="10"/>
  </cols>
  <sheetData>
    <row r="1" ht="21" customHeight="1" s="16">
      <c r="A1" s="28" t="inlineStr">
        <is>
          <t>3D프린팅 수동변속기 제작 - 구매 물품 목록 (v3)</t>
        </is>
      </c>
    </row>
    <row r="2" ht="15" customHeight="1" s="16">
      <c r="A2" s="29" t="inlineStr">
        <is>
          <t>작성일 2026-10-19 · 설계서 v3 기준 · 노란 칸(단가)만 입력하면 금액·합계가 계산됩니다. 단가는 2026-10-19 쿠팡·소망트레이딩·디바이스마트 상품 페이지에서 확인한 값이고, 비어 있는 칸은 미확인입니다. "보류"는 모터 감속기 확인 후 확정합니다.</t>
        </is>
      </c>
    </row>
    <row r="4" ht="16.5" customHeight="1" s="16">
      <c r="A4" s="30" t="inlineStr">
        <is>
          <t>번호</t>
        </is>
      </c>
      <c r="B4" s="30" t="inlineStr">
        <is>
          <t>품명</t>
        </is>
      </c>
      <c r="C4" s="30" t="inlineStr">
        <is>
          <t>규격</t>
        </is>
      </c>
      <c r="D4" s="30" t="inlineStr">
        <is>
          <t>수량</t>
        </is>
      </c>
      <c r="E4" s="30" t="inlineStr">
        <is>
          <t>단위</t>
        </is>
      </c>
      <c r="F4" s="30" t="inlineStr">
        <is>
          <t>단가(원)</t>
        </is>
      </c>
      <c r="G4" s="30" t="inlineStr">
        <is>
          <t>금액(원)</t>
        </is>
      </c>
      <c r="H4" s="30" t="inlineStr">
        <is>
          <t>용도</t>
        </is>
      </c>
      <c r="I4" s="30" t="inlineStr">
        <is>
          <t>상태</t>
        </is>
      </c>
      <c r="J4" s="30" t="inlineStr">
        <is>
          <t>비고</t>
        </is>
      </c>
    </row>
    <row r="5" ht="29.25" customHeight="1" s="16">
      <c r="A5" s="31" t="n">
        <v>1</v>
      </c>
      <c r="B5" s="32" t="inlineStr">
        <is>
          <t>6001ZZ 볼 베어링 (경제형 10개 묶음)</t>
        </is>
      </c>
      <c r="C5" s="31" t="inlineStr">
        <is>
          <t>12×28×8, 옵션 6001ZZ</t>
        </is>
      </c>
      <c r="D5" s="31" t="n">
        <v>2</v>
      </c>
      <c r="E5" s="32" t="inlineStr">
        <is>
          <t>묶음</t>
        </is>
      </c>
      <c r="F5" s="33" t="n">
        <v>6000</v>
      </c>
      <c r="G5" s="34">
        <f>D5*F5</f>
        <v/>
      </c>
      <c r="H5" s="32" t="inlineStr">
        <is>
          <t>끝판 4 + 출력 기어 12 + 아이들러 2 = 18개</t>
        </is>
      </c>
      <c r="I5" s="32" t="inlineStr">
        <is>
          <t>확정</t>
        </is>
      </c>
      <c r="J5" s="32" t="inlineStr">
        <is>
          <t>쿠팡 /vp/products/8630678241 · 무료배송</t>
        </is>
      </c>
    </row>
    <row r="6" ht="15" customHeight="1" s="16">
      <c r="A6" s="31" t="n">
        <v>2</v>
      </c>
      <c r="B6" s="32" t="inlineStr">
        <is>
          <t>강구</t>
        </is>
      </c>
      <c r="C6" s="31" t="inlineStr">
        <is>
          <t>Ø6mm 50개</t>
        </is>
      </c>
      <c r="D6" s="31" t="n">
        <v>1</v>
      </c>
      <c r="E6" s="32" t="inlineStr">
        <is>
          <t>봉</t>
        </is>
      </c>
      <c r="F6" s="33" t="n">
        <v>3500</v>
      </c>
      <c r="G6" s="34">
        <f>D6*F6</f>
        <v/>
      </c>
      <c r="H6" s="32" t="inlineStr">
        <is>
          <t>러그 디텐트 3개</t>
        </is>
      </c>
      <c r="I6" s="32" t="inlineStr">
        <is>
          <t>확정</t>
        </is>
      </c>
      <c r="J6" s="32" t="inlineStr">
        <is>
          <t>쿠팡 /9638493021 · 무료배송</t>
        </is>
      </c>
    </row>
    <row r="7" ht="29.25" customHeight="1" s="16">
      <c r="A7" s="31" t="n">
        <v>3</v>
      </c>
      <c r="B7" s="32" t="inlineStr">
        <is>
          <t>볼트너트 세트</t>
        </is>
      </c>
      <c r="C7" s="31" t="inlineStr">
        <is>
          <t>M3·M4·M5 스텐 500pcs</t>
        </is>
      </c>
      <c r="D7" s="31" t="n">
        <v>1</v>
      </c>
      <c r="E7" s="32" t="inlineStr">
        <is>
          <t>세트</t>
        </is>
      </c>
      <c r="F7" s="33" t="n">
        <v>12580</v>
      </c>
      <c r="G7" s="34">
        <f>D7*F7</f>
        <v/>
      </c>
      <c r="H7" s="32" t="inlineStr">
        <is>
          <t>일반 고정</t>
        </is>
      </c>
      <c r="I7" s="32" t="inlineStr">
        <is>
          <t>확정</t>
        </is>
      </c>
      <c r="J7" s="32" t="inlineStr">
        <is>
          <t>쿠팡 /2236695303 · 길이 구성 미확인 → 아래 M3·M4 길이별 항목 확인</t>
        </is>
      </c>
    </row>
    <row r="8" ht="29.25" customHeight="1" s="16">
      <c r="A8" s="31" t="n">
        <v>4</v>
      </c>
      <c r="B8" s="32" t="inlineStr">
        <is>
          <t>아두이노 레오나르도 R3 + 케이블</t>
        </is>
      </c>
      <c r="C8" s="31" t="inlineStr">
        <is>
          <t>ATmega32u4</t>
        </is>
      </c>
      <c r="D8" s="31" t="n">
        <v>1</v>
      </c>
      <c r="E8" s="32" t="inlineStr">
        <is>
          <t>개</t>
        </is>
      </c>
      <c r="F8" s="33" t="n">
        <v>9200</v>
      </c>
      <c r="G8" s="34">
        <f>D8*F8</f>
        <v/>
      </c>
      <c r="H8" s="32" t="inlineStr">
        <is>
          <t>센서 → PC 게임 입력</t>
        </is>
      </c>
      <c r="I8" s="32" t="inlineStr">
        <is>
          <t>확정</t>
        </is>
      </c>
      <c r="J8" s="32" t="inlineStr">
        <is>
          <t>쿠팡 /1119152790 · 배송 2,700</t>
        </is>
      </c>
    </row>
    <row r="9" ht="15" customHeight="1" s="16">
      <c r="A9" s="31" t="n">
        <v>5</v>
      </c>
      <c r="B9" s="32" t="inlineStr">
        <is>
          <t>네오디뮴 자석</t>
        </is>
      </c>
      <c r="C9" s="31" t="inlineStr">
        <is>
          <t>Ø6×3mm 40개</t>
        </is>
      </c>
      <c r="D9" s="31" t="n">
        <v>1</v>
      </c>
      <c r="E9" s="32" t="inlineStr">
        <is>
          <t>봉</t>
        </is>
      </c>
      <c r="F9" s="33" t="n">
        <v>11300</v>
      </c>
      <c r="G9" s="34">
        <f>D9*F9</f>
        <v/>
      </c>
      <c r="H9" s="32" t="inlineStr">
        <is>
          <t>러그 3 + 표시 바퀴 1</t>
        </is>
      </c>
      <c r="I9" s="32" t="inlineStr">
        <is>
          <t>확정</t>
        </is>
      </c>
      <c r="J9" s="32" t="inlineStr">
        <is>
          <t>쿠팡 /7119515778 · 와우 무료배송(아니면 미확인)</t>
        </is>
      </c>
    </row>
    <row r="10" ht="15" customHeight="1" s="16">
      <c r="A10" s="31" t="n">
        <v>6</v>
      </c>
      <c r="B10" s="32" t="inlineStr">
        <is>
          <t>홀센서 A3144</t>
        </is>
      </c>
      <c r="C10" s="31" t="inlineStr">
        <is>
          <t>3핀 소자</t>
        </is>
      </c>
      <c r="D10" s="31" t="n">
        <v>7</v>
      </c>
      <c r="E10" s="32" t="inlineStr">
        <is>
          <t>개</t>
        </is>
      </c>
      <c r="F10" s="33" t="n">
        <v>90</v>
      </c>
      <c r="G10" s="34">
        <f>D10*F10</f>
        <v/>
      </c>
      <c r="H10" s="32" t="inlineStr">
        <is>
          <t>기어 위치 6 + 출력 rpm 1</t>
        </is>
      </c>
      <c r="I10" s="32" t="inlineStr">
        <is>
          <t>확정</t>
        </is>
      </c>
      <c r="J10" s="32" t="inlineStr">
        <is>
          <t>쿠팡 /8520223332 · 배송 3,000</t>
        </is>
      </c>
    </row>
    <row r="11" ht="15" customHeight="1" s="16">
      <c r="A11" s="31" t="n">
        <v>7</v>
      </c>
      <c r="B11" s="32" t="inlineStr">
        <is>
          <t>가변저항 B10K</t>
        </is>
      </c>
      <c r="C11" s="32" t="inlineStr">
        <is>
          <t>노브 포함</t>
        </is>
      </c>
      <c r="D11" s="31" t="n">
        <v>3</v>
      </c>
      <c r="E11" s="32" t="inlineStr">
        <is>
          <t>개</t>
        </is>
      </c>
      <c r="F11" s="33" t="n">
        <v>500</v>
      </c>
      <c r="G11" s="34">
        <f>D11*F11</f>
        <v/>
      </c>
      <c r="H11" s="32" t="inlineStr">
        <is>
          <t>핸들·클러치·브레이크</t>
        </is>
      </c>
      <c r="I11" s="32" t="inlineStr">
        <is>
          <t>확정</t>
        </is>
      </c>
      <c r="J11" s="32" t="inlineStr">
        <is>
          <t>쿠팡 /9428838021 · 배송 3,000 · 축 지름 미확인</t>
        </is>
      </c>
    </row>
    <row r="12" ht="29.25" customHeight="1" s="16">
      <c r="A12" s="31" t="n">
        <v>8</v>
      </c>
      <c r="B12" s="32" t="inlineStr">
        <is>
          <t>마이크로스위치</t>
        </is>
      </c>
      <c r="C12" s="31" t="inlineStr">
        <is>
          <t>KW-11-3Z 레버형</t>
        </is>
      </c>
      <c r="D12" s="31" t="n">
        <v>2</v>
      </c>
      <c r="E12" s="32" t="inlineStr">
        <is>
          <t>개</t>
        </is>
      </c>
      <c r="F12" s="33" t="n">
        <v>400</v>
      </c>
      <c r="G12" s="34">
        <f>D12*F12</f>
        <v/>
      </c>
      <c r="H12" s="32" t="inlineStr">
        <is>
          <t>아크릴 덮개 열림 감지 등 (릴레이 코일 회로)</t>
        </is>
      </c>
      <c r="I12" s="32" t="inlineStr">
        <is>
          <t>확정</t>
        </is>
      </c>
      <c r="J12" s="32" t="inlineStr">
        <is>
          <t>쿠팡 /9167678186 · 배송 3,000</t>
        </is>
      </c>
    </row>
    <row r="13" ht="15" customHeight="1" s="16">
      <c r="A13" s="31" t="n">
        <v>9</v>
      </c>
      <c r="B13" s="32" t="inlineStr">
        <is>
          <t>점퍼 케이블</t>
        </is>
      </c>
      <c r="C13" s="31" t="inlineStr">
        <is>
          <t>M-F 40P 40cm</t>
        </is>
      </c>
      <c r="D13" s="31" t="n">
        <v>1</v>
      </c>
      <c r="E13" s="32" t="inlineStr">
        <is>
          <t>개</t>
        </is>
      </c>
      <c r="F13" s="33" t="n">
        <v>5300</v>
      </c>
      <c r="G13" s="34">
        <f>D13*F13</f>
        <v/>
      </c>
      <c r="H13" s="32" t="inlineStr">
        <is>
          <t>센서 배선</t>
        </is>
      </c>
      <c r="I13" s="32" t="inlineStr">
        <is>
          <t>확정</t>
        </is>
      </c>
      <c r="J13" s="32" t="inlineStr">
        <is>
          <t>쿠팡 /9699042565</t>
        </is>
      </c>
    </row>
    <row r="14" ht="15" customHeight="1" s="16">
      <c r="A14" s="31" t="n">
        <v>10</v>
      </c>
      <c r="B14" s="32" t="inlineStr">
        <is>
          <t>만능기판</t>
        </is>
      </c>
      <c r="C14" s="31" t="inlineStr">
        <is>
          <t>20개 묶음</t>
        </is>
      </c>
      <c r="D14" s="31" t="n">
        <v>1</v>
      </c>
      <c r="E14" s="32" t="inlineStr">
        <is>
          <t>봉</t>
        </is>
      </c>
      <c r="F14" s="33" t="n">
        <v>15000</v>
      </c>
      <c r="G14" s="34">
        <f>D14*F14</f>
        <v/>
      </c>
      <c r="H14" s="32" t="inlineStr">
        <is>
          <t>센서 배선</t>
        </is>
      </c>
      <c r="I14" s="32" t="inlineStr">
        <is>
          <t>확정</t>
        </is>
      </c>
      <c r="J14" s="32" t="inlineStr">
        <is>
          <t>쿠팡 /9661304796 (쿠팡은 묶음만)</t>
        </is>
      </c>
    </row>
    <row r="15" ht="15" customHeight="1" s="16">
      <c r="A15" s="31" t="n">
        <v>11</v>
      </c>
      <c r="B15" s="32" t="inlineStr">
        <is>
          <t>투명 아크릴</t>
        </is>
      </c>
      <c r="C15" s="31" t="inlineStr">
        <is>
          <t>A3 3T</t>
        </is>
      </c>
      <c r="D15" s="31" t="n">
        <v>1</v>
      </c>
      <c r="E15" s="32" t="inlineStr">
        <is>
          <t>장</t>
        </is>
      </c>
      <c r="F15" s="33" t="n">
        <v>9000</v>
      </c>
      <c r="G15" s="34">
        <f>D15*F15</f>
        <v/>
      </c>
      <c r="H15" s="32" t="inlineStr">
        <is>
          <t>기어부 덮개</t>
        </is>
      </c>
      <c r="I15" s="32" t="inlineStr">
        <is>
          <t>확정</t>
        </is>
      </c>
      <c r="J15" s="32" t="inlineStr">
        <is>
          <t>쿠팡 /9593337115 · 무료배송 · 덮개 설계 후 장수 확정</t>
        </is>
      </c>
    </row>
    <row r="16" ht="29.25" customHeight="1" s="16">
      <c r="A16" s="31" t="n">
        <v>12</v>
      </c>
      <c r="B16" s="32" t="inlineStr">
        <is>
          <t>인장 스프링</t>
        </is>
      </c>
      <c r="C16" s="32" t="inlineStr">
        <is>
          <t>선경 1.0 외경 7, 1m</t>
        </is>
      </c>
      <c r="D16" s="31" t="n">
        <v>1</v>
      </c>
      <c r="E16" s="32" t="inlineStr">
        <is>
          <t>개</t>
        </is>
      </c>
      <c r="F16" s="33" t="n">
        <v>8000</v>
      </c>
      <c r="G16" s="34">
        <f>D16*F16</f>
        <v/>
      </c>
      <c r="H16" s="32" t="inlineStr">
        <is>
          <t>클러치·브레이크 페달 복귀 (잘라 고리 만듦)</t>
        </is>
      </c>
      <c r="I16" s="32" t="inlineStr">
        <is>
          <t>확정</t>
        </is>
      </c>
      <c r="J16" s="32" t="inlineStr">
        <is>
          <t>쿠팡 /7939346368 · 배송 3,000</t>
        </is>
      </c>
    </row>
    <row r="17" ht="15" customHeight="1" s="16">
      <c r="A17" s="31" t="n">
        <v>13</v>
      </c>
      <c r="B17" s="32" t="inlineStr">
        <is>
          <t>M6 볼트·너트</t>
        </is>
      </c>
      <c r="C17" s="31" t="inlineStr">
        <is>
          <t>M6×50 10개 + 너트 10개</t>
        </is>
      </c>
      <c r="D17" s="31" t="n">
        <v>1</v>
      </c>
      <c r="E17" s="32" t="inlineStr">
        <is>
          <t>세트</t>
        </is>
      </c>
      <c r="F17" s="33" t="n">
        <v>4500</v>
      </c>
      <c r="G17" s="34">
        <f>D17*F17</f>
        <v/>
      </c>
      <c r="H17" s="32" t="inlineStr">
        <is>
          <t>페달 힌지</t>
        </is>
      </c>
      <c r="I17" s="32" t="inlineStr">
        <is>
          <t>확정</t>
        </is>
      </c>
      <c r="J17" s="32" t="inlineStr">
        <is>
          <t>쿠팡 /9679379731</t>
        </is>
      </c>
    </row>
    <row r="18" ht="15" customHeight="1" s="16">
      <c r="A18" s="31" t="n">
        <v>14</v>
      </c>
      <c r="B18" s="32" t="inlineStr">
        <is>
          <t>M12 와셔</t>
        </is>
      </c>
      <c r="C18" s="31" t="inlineStr">
        <is>
          <t>5개</t>
        </is>
      </c>
      <c r="D18" s="31" t="n">
        <v>1</v>
      </c>
      <c r="E18" s="32" t="inlineStr">
        <is>
          <t>봉</t>
        </is>
      </c>
      <c r="F18" s="33" t="n">
        <v>350</v>
      </c>
      <c r="G18" s="34">
        <f>D18*F18</f>
        <v/>
      </c>
      <c r="H18" s="32" t="inlineStr">
        <is>
          <t>맞물림 시험 지그</t>
        </is>
      </c>
      <c r="I18" s="32" t="inlineStr">
        <is>
          <t>확정</t>
        </is>
      </c>
      <c r="J18" s="32" t="inlineStr">
        <is>
          <t>쿠팡 /7104904321 · 배송 2,500</t>
        </is>
      </c>
    </row>
    <row r="19" ht="29.25" customHeight="1" s="16">
      <c r="A19" s="31" t="n">
        <v>15</v>
      </c>
      <c r="B19" s="32" t="inlineStr">
        <is>
          <t>MDF 판</t>
        </is>
      </c>
      <c r="C19" s="31" t="inlineStr">
        <is>
          <t>12T 300×1200 재단</t>
        </is>
      </c>
      <c r="D19" s="31" t="n">
        <v>1</v>
      </c>
      <c r="E19" s="32" t="inlineStr">
        <is>
          <t>장</t>
        </is>
      </c>
      <c r="F19" s="33" t="n">
        <v>9600</v>
      </c>
      <c r="G19" s="34">
        <f>D19*F19</f>
        <v/>
      </c>
      <c r="H19" s="32" t="inlineStr">
        <is>
          <t>바닥판 600×300으로 잘라 씀 (v2 350×200은 작음)</t>
        </is>
      </c>
      <c r="I19" s="32" t="inlineStr">
        <is>
          <t>확정</t>
        </is>
      </c>
      <c r="J19" s="32" t="inlineStr">
        <is>
          <t>쿠팡 /71452005 · 와우 무료배송</t>
        </is>
      </c>
    </row>
    <row r="20" ht="29.25" customHeight="1" s="16">
      <c r="A20" s="31" t="n">
        <v>16</v>
      </c>
      <c r="B20" s="32" t="inlineStr">
        <is>
          <t>연마봉(강철 축)</t>
        </is>
      </c>
      <c r="C20" s="31" t="inlineStr">
        <is>
          <t>Ø12 1m → 400·370·55·160 절단, 400·370 전체 D컷 1mm</t>
        </is>
      </c>
      <c r="D20" s="31" t="n">
        <v>1</v>
      </c>
      <c r="E20" s="32" t="inlineStr">
        <is>
          <t>개</t>
        </is>
      </c>
      <c r="F20" s="33" t="n">
        <v>16000</v>
      </c>
      <c r="G20" s="34">
        <f>D20*F20</f>
        <v/>
      </c>
      <c r="H20" s="32" t="inlineStr">
        <is>
          <t>입력·출력·아이들러 축, 레버봉</t>
        </is>
      </c>
      <c r="I20" s="32" t="inlineStr">
        <is>
          <t>확정</t>
        </is>
      </c>
      <c r="J20" s="32" t="inlineStr">
        <is>
          <t>소망트레이딩 · 배송 3,000 · 절단·D컷 비용 미확인(전화 문의)</t>
        </is>
      </c>
    </row>
    <row r="21" ht="15" customHeight="1" s="16">
      <c r="A21" s="31" t="n">
        <v>17</v>
      </c>
      <c r="B21" s="32" t="inlineStr">
        <is>
          <t>연마봉(변속 레일)</t>
        </is>
      </c>
      <c r="C21" s="31" t="inlineStr">
        <is>
          <t>Ø6 380mm</t>
        </is>
      </c>
      <c r="D21" s="31" t="n">
        <v>3</v>
      </c>
      <c r="E21" s="32" t="inlineStr">
        <is>
          <t>개</t>
        </is>
      </c>
      <c r="F21" s="33" t="n"/>
      <c r="G21" s="34">
        <f>D21*F21</f>
        <v/>
      </c>
      <c r="H21" s="32" t="inlineStr">
        <is>
          <t>시프트 레일</t>
        </is>
      </c>
      <c r="I21" s="32" t="inlineStr">
        <is>
          <t>확정</t>
        </is>
      </c>
      <c r="J21" s="32" t="inlineStr">
        <is>
          <t>소망트레이딩 · 380 옵션 단가 미확인 (200mm 옵션 2,600원)</t>
        </is>
      </c>
    </row>
    <row r="22" ht="15" customHeight="1" s="16">
      <c r="A22" s="31" t="n">
        <v>18</v>
      </c>
      <c r="B22" s="32" t="inlineStr">
        <is>
          <t>압축 스프링 C147</t>
        </is>
      </c>
      <c r="C22" s="32" t="inlineStr">
        <is>
          <t>외경 5, 길이 10</t>
        </is>
      </c>
      <c r="D22" s="31" t="n">
        <v>3</v>
      </c>
      <c r="E22" s="32" t="inlineStr">
        <is>
          <t>개</t>
        </is>
      </c>
      <c r="F22" s="33" t="n">
        <v>990</v>
      </c>
      <c r="G22" s="34">
        <f>D22*F22</f>
        <v/>
      </c>
      <c r="H22" s="32" t="inlineStr">
        <is>
          <t>러그 디텐트</t>
        </is>
      </c>
      <c r="I22" s="32" t="inlineStr">
        <is>
          <t>확정</t>
        </is>
      </c>
      <c r="J22" s="32" t="inlineStr">
        <is>
          <t>디바이스마트 no=15336164 · 배송 2,700</t>
        </is>
      </c>
    </row>
    <row r="23" ht="29.25" customHeight="1" s="16">
      <c r="A23" s="31" t="n">
        <v>19</v>
      </c>
      <c r="B23" s="32" t="inlineStr">
        <is>
          <t>압축 스프링 C252</t>
        </is>
      </c>
      <c r="C23" s="32" t="inlineStr">
        <is>
          <t>외경 18, 길이 32</t>
        </is>
      </c>
      <c r="D23" s="31" t="n">
        <v>1</v>
      </c>
      <c r="E23" s="32" t="inlineStr">
        <is>
          <t>개</t>
        </is>
      </c>
      <c r="F23" s="33" t="n">
        <v>8360</v>
      </c>
      <c r="G23" s="34">
        <f>D23*F23</f>
        <v/>
      </c>
      <c r="H23" s="32" t="inlineStr">
        <is>
          <t>레버 후진 잠금</t>
        </is>
      </c>
      <c r="I23" s="32" t="inlineStr">
        <is>
          <t>확정</t>
        </is>
      </c>
      <c r="J23" s="32" t="inlineStr">
        <is>
          <t>디바이스마트 no=15336269 · 안지름이 12mm 봉보다 큰지 미확인</t>
        </is>
      </c>
    </row>
    <row r="24" ht="29.25" customHeight="1" s="16">
      <c r="A24" s="31" t="n">
        <v>20</v>
      </c>
      <c r="B24" s="32" t="inlineStr">
        <is>
          <t>M4 볼트·너트</t>
        </is>
      </c>
      <c r="C24" s="31" t="inlineStr">
        <is>
          <t>M4×30</t>
        </is>
      </c>
      <c r="D24" s="31" t="n">
        <v>20</v>
      </c>
      <c r="E24" s="32" t="inlineStr">
        <is>
          <t>세트</t>
        </is>
      </c>
      <c r="F24" s="33" t="n"/>
      <c r="G24" s="34">
        <f>D24*F24</f>
        <v/>
      </c>
      <c r="H24" s="32" t="inlineStr">
        <is>
          <t>받침 4, 케이지 4, 피벗 8, 게이트 4</t>
        </is>
      </c>
      <c r="I24" s="32" t="inlineStr">
        <is>
          <t>확정</t>
        </is>
      </c>
      <c r="J24" s="32" t="inlineStr">
        <is>
          <t>단가 미확인</t>
        </is>
      </c>
    </row>
    <row r="25" ht="29.25" customHeight="1" s="16">
      <c r="A25" s="31" t="n">
        <v>21</v>
      </c>
      <c r="B25" s="32" t="inlineStr">
        <is>
          <t>M3 볼트·너트</t>
        </is>
      </c>
      <c r="C25" s="31" t="inlineStr">
        <is>
          <t>M3×20 15, ×30 6, ×16 3, ×12 3, ×10 2</t>
        </is>
      </c>
      <c r="D25" s="31" t="n">
        <v>29</v>
      </c>
      <c r="E25" s="32" t="inlineStr">
        <is>
          <t>개</t>
        </is>
      </c>
      <c r="F25" s="33" t="n"/>
      <c r="G25" s="34">
        <f>D25*F25</f>
        <v/>
      </c>
      <c r="H25" s="32" t="inlineStr">
        <is>
          <t>슬리브 9, 칼라 6, 러그 6, 포크 3, 디텐트 3, 센서 2</t>
        </is>
      </c>
      <c r="I25" s="32" t="inlineStr">
        <is>
          <t>확정</t>
        </is>
      </c>
      <c r="J25" s="32" t="inlineStr">
        <is>
          <t>단가 미확인 · 세트에 길이가 있으면 생략</t>
        </is>
      </c>
    </row>
    <row r="26" ht="15" customHeight="1" s="16">
      <c r="A26" s="31" t="n">
        <v>22</v>
      </c>
      <c r="B26" s="32" t="inlineStr">
        <is>
          <t>목재 나사</t>
        </is>
      </c>
      <c r="C26" s="31" t="inlineStr">
        <is>
          <t>4×20</t>
        </is>
      </c>
      <c r="D26" s="31" t="n">
        <v>8</v>
      </c>
      <c r="E26" s="32" t="inlineStr">
        <is>
          <t>개</t>
        </is>
      </c>
      <c r="F26" s="33" t="n"/>
      <c r="G26" s="34">
        <f>D26*F26</f>
        <v/>
      </c>
      <c r="H26" s="32" t="inlineStr">
        <is>
          <t>받침 브래킷 → MDF</t>
        </is>
      </c>
      <c r="I26" s="32" t="inlineStr">
        <is>
          <t>확정</t>
        </is>
      </c>
      <c r="J26" s="32" t="inlineStr">
        <is>
          <t>단가 미확인</t>
        </is>
      </c>
    </row>
    <row r="27" ht="29.25" customHeight="1" s="16">
      <c r="A27" s="31" t="n">
        <v>23</v>
      </c>
      <c r="B27" s="32" t="inlineStr">
        <is>
          <t>에폭시 접착제</t>
        </is>
      </c>
      <c r="C27" s="31" t="inlineStr">
        <is>
          <t>2액형</t>
        </is>
      </c>
      <c r="D27" s="31" t="n">
        <v>1</v>
      </c>
      <c r="E27" s="32" t="inlineStr">
        <is>
          <t>개</t>
        </is>
      </c>
      <c r="F27" s="33" t="n"/>
      <c r="G27" s="34">
        <f>D27*F27</f>
        <v/>
      </c>
      <c r="H27" s="32" t="inlineStr">
        <is>
          <t>레버봉-핑거·손잡이, 아이들러 축</t>
        </is>
      </c>
      <c r="I27" s="32" t="inlineStr">
        <is>
          <t>확정</t>
        </is>
      </c>
      <c r="J27" s="32" t="inlineStr">
        <is>
          <t>단가 미확인</t>
        </is>
      </c>
    </row>
    <row r="28" ht="15" customHeight="1" s="16">
      <c r="A28" s="31" t="n">
        <v>24</v>
      </c>
      <c r="B28" s="32" t="inlineStr">
        <is>
          <t>PLA 필라멘트</t>
        </is>
      </c>
      <c r="C28" s="31" t="inlineStr">
        <is>
          <t>2.85mm</t>
        </is>
      </c>
      <c r="D28" s="31" t="n">
        <v>3</v>
      </c>
      <c r="E28" s="32" t="inlineStr">
        <is>
          <t>kg</t>
        </is>
      </c>
      <c r="F28" s="33" t="n"/>
      <c r="G28" s="34">
        <f>D28*F28</f>
        <v/>
      </c>
      <c r="H28" s="32" t="inlineStr">
        <is>
          <t>출력 예상 2.54kg + 실패 여유</t>
        </is>
      </c>
      <c r="I28" s="32" t="inlineStr">
        <is>
          <t>확정</t>
        </is>
      </c>
      <c r="J28" s="32" t="inlineStr">
        <is>
          <t>보유 1롤 무게 확인 후 부족분만 · 단가 미확인</t>
        </is>
      </c>
    </row>
    <row r="29" ht="15" customHeight="1" s="16">
      <c r="A29" s="31" t="n">
        <v>25</v>
      </c>
      <c r="B29" s="32" t="inlineStr">
        <is>
          <t>배송비</t>
        </is>
      </c>
      <c r="C29" s="32" t="inlineStr">
        <is>
          <t>쿠팡 판매자별 17,200 + 소망 3,000 + 디바이스마트 2,700</t>
        </is>
      </c>
      <c r="D29" s="31" t="n">
        <v>1</v>
      </c>
      <c r="E29" s="32" t="inlineStr">
        <is>
          <t>식</t>
        </is>
      </c>
      <c r="F29" s="33" t="n">
        <v>22900</v>
      </c>
      <c r="G29" s="34">
        <f>D29*F29</f>
        <v/>
      </c>
      <c r="H29" s="32" t="n"/>
      <c r="I29" s="32" t="inlineStr">
        <is>
          <t>확정</t>
        </is>
      </c>
      <c r="J29" s="32" t="inlineStr">
        <is>
          <t>2026-10-19 확인 · 새 항목 추가 시 달라질 수 있음</t>
        </is>
      </c>
    </row>
    <row r="30" ht="29.25" customHeight="1" s="16">
      <c r="A30" s="35" t="n">
        <v>26</v>
      </c>
      <c r="B30" s="36" t="inlineStr">
        <is>
          <t>축 커플링 / 클러치 부품</t>
        </is>
      </c>
      <c r="C30" s="36" t="inlineStr">
        <is>
          <t>감속기 출력축에 맞춤</t>
        </is>
      </c>
      <c r="D30" s="35" t="n">
        <v>1</v>
      </c>
      <c r="E30" s="36" t="inlineStr">
        <is>
          <t>식</t>
        </is>
      </c>
      <c r="F30" s="33" t="n"/>
      <c r="G30" s="37">
        <f>D30*F30</f>
        <v/>
      </c>
      <c r="H30" s="36" t="inlineStr">
        <is>
          <t>모터-입력축 연결 + 토크 제한 마찰 클러치</t>
        </is>
      </c>
      <c r="I30" s="36" t="inlineStr">
        <is>
          <t>보류</t>
        </is>
      </c>
      <c r="J30" s="36" t="inlineStr">
        <is>
          <t>감속기 확인 후 설계</t>
        </is>
      </c>
    </row>
    <row r="31" ht="15" customHeight="1" s="16">
      <c r="A31" s="35" t="n">
        <v>27</v>
      </c>
      <c r="B31" s="36" t="inlineStr">
        <is>
          <t>압축 스프링 C252</t>
        </is>
      </c>
      <c r="C31" s="36" t="inlineStr">
        <is>
          <t>외경 18, 길이 32</t>
        </is>
      </c>
      <c r="D31" s="35" t="n">
        <v>3</v>
      </c>
      <c r="E31" s="36" t="inlineStr">
        <is>
          <t>개</t>
        </is>
      </c>
      <c r="F31" s="33" t="n">
        <v>8360</v>
      </c>
      <c r="G31" s="37">
        <f>D31*F31</f>
        <v/>
      </c>
      <c r="H31" s="36" t="inlineStr">
        <is>
          <t>마찰 클러치 압착</t>
        </is>
      </c>
      <c r="I31" s="36" t="inlineStr">
        <is>
          <t>보류</t>
        </is>
      </c>
      <c r="J31" s="36" t="inlineStr">
        <is>
          <t>디바이스마트 no=15336269</t>
        </is>
      </c>
    </row>
    <row r="32" ht="15" customHeight="1" s="16">
      <c r="A32" s="35" t="n">
        <v>28</v>
      </c>
      <c r="B32" s="36" t="inlineStr">
        <is>
          <t>코르크·고무 시트</t>
        </is>
      </c>
      <c r="C32" s="36" t="inlineStr">
        <is>
          <t>마찰재</t>
        </is>
      </c>
      <c r="D32" s="35" t="n">
        <v>1</v>
      </c>
      <c r="E32" s="36" t="inlineStr">
        <is>
          <t>장</t>
        </is>
      </c>
      <c r="F32" s="33" t="n"/>
      <c r="G32" s="37">
        <f>D32*F32</f>
        <v/>
      </c>
      <c r="H32" s="36" t="inlineStr">
        <is>
          <t>클러치 원판</t>
        </is>
      </c>
      <c r="I32" s="36" t="inlineStr">
        <is>
          <t>보류</t>
        </is>
      </c>
      <c r="J32" s="36" t="n"/>
    </row>
    <row r="33" ht="15" customHeight="1" s="16">
      <c r="A33" s="35" t="n">
        <v>29</v>
      </c>
      <c r="B33" s="36" t="inlineStr">
        <is>
          <t>클러치 케이블</t>
        </is>
      </c>
      <c r="C33" s="36" t="inlineStr">
        <is>
          <t>자전거 브레이크 케이블 세트</t>
        </is>
      </c>
      <c r="D33" s="35" t="n">
        <v>1</v>
      </c>
      <c r="E33" s="36" t="inlineStr">
        <is>
          <t>세트</t>
        </is>
      </c>
      <c r="F33" s="33" t="n"/>
      <c r="G33" s="37">
        <f>D33*F33</f>
        <v/>
      </c>
      <c r="H33" s="36" t="inlineStr">
        <is>
          <t>클러치 페달 → 클러치</t>
        </is>
      </c>
      <c r="I33" s="36" t="inlineStr">
        <is>
          <t>보류</t>
        </is>
      </c>
      <c r="J33" s="36" t="n"/>
    </row>
    <row r="34" ht="29.25" customHeight="1" s="16">
      <c r="A34" s="35" t="n">
        <v>30</v>
      </c>
      <c r="B34" s="36" t="inlineStr">
        <is>
          <t>릴레이 + 퓨즈</t>
        </is>
      </c>
      <c r="C34" s="36" t="inlineStr">
        <is>
          <t>접점 30A 이상 + 배터리 옆 퓨즈</t>
        </is>
      </c>
      <c r="D34" s="35" t="n">
        <v>1</v>
      </c>
      <c r="E34" s="36" t="inlineStr">
        <is>
          <t>세트</t>
        </is>
      </c>
      <c r="F34" s="33" t="n"/>
      <c r="G34" s="37">
        <f>D34*F34</f>
        <v/>
      </c>
      <c r="H34" s="36" t="inlineStr">
        <is>
          <t>덮개·비상정지가 릴레이 코일만 끊음</t>
        </is>
      </c>
      <c r="I34" s="36" t="inlineStr">
        <is>
          <t>보류</t>
        </is>
      </c>
      <c r="J34" s="36" t="inlineStr">
        <is>
          <t>모터 전류 확인 후 정격 결정</t>
        </is>
      </c>
    </row>
    <row r="35" ht="15" customHeight="1" s="16">
      <c r="A35" s="35" t="n">
        <v>31</v>
      </c>
      <c r="B35" s="36" t="inlineStr">
        <is>
          <t>비상정지 스위치</t>
        </is>
      </c>
      <c r="C35" s="36" t="inlineStr">
        <is>
          <t>버섯형</t>
        </is>
      </c>
      <c r="D35" s="35" t="n">
        <v>1</v>
      </c>
      <c r="E35" s="36" t="inlineStr">
        <is>
          <t>개</t>
        </is>
      </c>
      <c r="F35" s="33" t="n"/>
      <c r="G35" s="37">
        <f>D35*F35</f>
        <v/>
      </c>
      <c r="H35" s="36" t="inlineStr">
        <is>
          <t>운영자 비상 차단</t>
        </is>
      </c>
      <c r="I35" s="36" t="inlineStr">
        <is>
          <t>보류</t>
        </is>
      </c>
      <c r="J35" s="36" t="n"/>
    </row>
    <row r="36" ht="16.5" customHeight="1" s="16">
      <c r="B36" s="38" t="inlineStr">
        <is>
          <t>합계 (확정 항목, 단가 입력된 것만)</t>
        </is>
      </c>
      <c r="G36" s="39">
        <f>SUMIFS(G5:G35,I5:I35,"확정")</f>
        <v/>
      </c>
    </row>
    <row r="37" ht="16.5" customHeight="1" s="16">
      <c r="B37" s="38" t="inlineStr">
        <is>
          <t>합계 (보류 포함)</t>
        </is>
      </c>
      <c r="G37" s="39">
        <f>SUM(G5:G35)</f>
        <v/>
      </c>
    </row>
    <row r="38" ht="15" customHeight="1" s="16">
      <c r="B38" s="38" t="inlineStr">
        <is>
          <t>단가 미확인 항목 수</t>
        </is>
      </c>
      <c r="G38" s="40">
        <f>COUNTBLANK(F5:F35)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7" min="1" max="1"/>
    <col width="20" customWidth="1" style="27" min="2" max="2"/>
    <col width="30" customWidth="1" style="27" min="3" max="3"/>
    <col width="6" customWidth="1" style="27" min="4" max="5"/>
    <col width="11" customWidth="1" style="27" min="6" max="6"/>
    <col width="12" customWidth="1" style="27" min="7" max="7"/>
    <col width="24" customWidth="1" style="27" min="8" max="8"/>
    <col width="10" customWidth="1" style="27" min="9" max="9"/>
    <col width="34" customWidth="1" style="27" min="10" max="10"/>
  </cols>
  <sheetData>
    <row r="1" ht="21" customHeight="1" s="16">
      <c r="A1" s="28" t="inlineStr">
        <is>
          <t>3D프린팅 수동변속기 제작 - 구매 물품 목록</t>
        </is>
      </c>
    </row>
    <row r="2" ht="15" customHeight="1" s="16">
      <c r="A2" s="29" t="inlineStr">
        <is>
          <t>작성일 2026-09-25 · 설계서 v2 기준 · 노란 칸(단가)은 구매처 견적을 보고 입력하면 금액·합계가 자동 계산됩니다. '보류' 항목은 기어헤드 감속비·출력축 지름을 확인한 뒤 확정합니다.</t>
        </is>
      </c>
    </row>
    <row r="4" ht="16.5" customHeight="1" s="16">
      <c r="A4" s="30" t="inlineStr">
        <is>
          <t>번호</t>
        </is>
      </c>
      <c r="B4" s="30" t="inlineStr">
        <is>
          <t>품명</t>
        </is>
      </c>
      <c r="C4" s="30" t="inlineStr">
        <is>
          <t>규격</t>
        </is>
      </c>
      <c r="D4" s="30" t="inlineStr">
        <is>
          <t>수량</t>
        </is>
      </c>
      <c r="E4" s="30" t="inlineStr">
        <is>
          <t>단위</t>
        </is>
      </c>
      <c r="F4" s="30" t="inlineStr">
        <is>
          <t>단가(원)</t>
        </is>
      </c>
      <c r="G4" s="30" t="inlineStr">
        <is>
          <t>금액(원)</t>
        </is>
      </c>
      <c r="H4" s="30" t="inlineStr">
        <is>
          <t>용도</t>
        </is>
      </c>
      <c r="I4" s="30" t="inlineStr">
        <is>
          <t>상태</t>
        </is>
      </c>
      <c r="J4" s="30" t="inlineStr">
        <is>
          <t>비고</t>
        </is>
      </c>
    </row>
    <row r="5" ht="15" customHeight="1" s="16">
      <c r="A5" s="31" t="n">
        <v>1</v>
      </c>
      <c r="B5" s="32" t="inlineStr">
        <is>
          <t>연마봉(강철 축)</t>
        </is>
      </c>
      <c r="C5" s="31" t="inlineStr">
        <is>
          <t>Ø12mm, 길이 320mm</t>
        </is>
      </c>
      <c r="D5" s="31" t="n">
        <v>2</v>
      </c>
      <c r="E5" s="32" t="inlineStr">
        <is>
          <t>개</t>
        </is>
      </c>
      <c r="F5" s="33" t="n"/>
      <c r="G5" s="34">
        <f>D5*F5</f>
        <v/>
      </c>
      <c r="H5" s="32" t="inlineStr">
        <is>
          <t>입력축·출력축</t>
        </is>
      </c>
      <c r="I5" s="32" t="inlineStr">
        <is>
          <t>확정</t>
        </is>
      </c>
      <c r="J5" s="32" t="inlineStr">
        <is>
          <t>절단 주문. 한쪽 면 D컷(깊이 1mm) 가공 요청</t>
        </is>
      </c>
    </row>
    <row r="6" ht="15" customHeight="1" s="16">
      <c r="A6" s="31" t="n">
        <v>2</v>
      </c>
      <c r="B6" s="32" t="inlineStr">
        <is>
          <t>연마봉(강철 축)</t>
        </is>
      </c>
      <c r="C6" s="31" t="inlineStr">
        <is>
          <t>Ø12mm, 길이 80mm</t>
        </is>
      </c>
      <c r="D6" s="31" t="n">
        <v>1</v>
      </c>
      <c r="E6" s="32" t="inlineStr">
        <is>
          <t>개</t>
        </is>
      </c>
      <c r="F6" s="33" t="n"/>
      <c r="G6" s="34">
        <f>D6*F6</f>
        <v/>
      </c>
      <c r="H6" s="32" t="inlineStr">
        <is>
          <t>후진 아이들러 축</t>
        </is>
      </c>
      <c r="I6" s="32" t="inlineStr">
        <is>
          <t>확정</t>
        </is>
      </c>
      <c r="J6" s="32" t="inlineStr">
        <is>
          <t>절단 주문</t>
        </is>
      </c>
    </row>
    <row r="7" ht="15" customHeight="1" s="16">
      <c r="A7" s="31" t="n">
        <v>3</v>
      </c>
      <c r="B7" s="32" t="inlineStr">
        <is>
          <t>연마봉(강철 축)</t>
        </is>
      </c>
      <c r="C7" s="31" t="inlineStr">
        <is>
          <t>Ø12mm, 길이 60mm</t>
        </is>
      </c>
      <c r="D7" s="31" t="n">
        <v>2</v>
      </c>
      <c r="E7" s="32" t="inlineStr">
        <is>
          <t>개</t>
        </is>
      </c>
      <c r="F7" s="33" t="n"/>
      <c r="G7" s="34">
        <f>D7*F7</f>
        <v/>
      </c>
      <c r="H7" s="32" t="inlineStr">
        <is>
          <t>맞물림 시험 지그</t>
        </is>
      </c>
      <c r="I7" s="32" t="inlineStr">
        <is>
          <t>확정</t>
        </is>
      </c>
      <c r="J7" s="32" t="inlineStr">
        <is>
          <t>절단 주문</t>
        </is>
      </c>
    </row>
    <row r="8" ht="15" customHeight="1" s="16">
      <c r="A8" s="31" t="n">
        <v>4</v>
      </c>
      <c r="B8" s="32" t="inlineStr">
        <is>
          <t>볼 베어링</t>
        </is>
      </c>
      <c r="C8" s="31" t="inlineStr">
        <is>
          <t>6001ZZ (내경12×외경28×폭8mm)</t>
        </is>
      </c>
      <c r="D8" s="31" t="n">
        <v>6</v>
      </c>
      <c r="E8" s="32" t="inlineStr">
        <is>
          <t>개</t>
        </is>
      </c>
      <c r="F8" s="33" t="n"/>
      <c r="G8" s="34">
        <f>D8*F8</f>
        <v/>
      </c>
      <c r="H8" s="32" t="inlineStr">
        <is>
          <t>입력·출력·아이들러 축 지지</t>
        </is>
      </c>
      <c r="I8" s="32" t="inlineStr">
        <is>
          <t>확정</t>
        </is>
      </c>
      <c r="J8" s="31" t="n"/>
    </row>
    <row r="9" ht="15" customHeight="1" s="16">
      <c r="A9" s="31" t="n">
        <v>5</v>
      </c>
      <c r="B9" s="32" t="inlineStr">
        <is>
          <t>연마봉(변속 레일)</t>
        </is>
      </c>
      <c r="C9" s="31" t="inlineStr">
        <is>
          <t>Ø6mm, 길이 200mm</t>
        </is>
      </c>
      <c r="D9" s="31" t="n">
        <v>3</v>
      </c>
      <c r="E9" s="32" t="inlineStr">
        <is>
          <t>개</t>
        </is>
      </c>
      <c r="F9" s="33" t="n"/>
      <c r="G9" s="34">
        <f>D9*F9</f>
        <v/>
      </c>
      <c r="H9" s="32" t="inlineStr">
        <is>
          <t>시프트 레일</t>
        </is>
      </c>
      <c r="I9" s="32" t="inlineStr">
        <is>
          <t>확정</t>
        </is>
      </c>
      <c r="J9" s="32" t="inlineStr">
        <is>
          <t>절단 주문</t>
        </is>
      </c>
    </row>
    <row r="10" ht="15" customHeight="1" s="16">
      <c r="A10" s="31" t="n">
        <v>6</v>
      </c>
      <c r="B10" s="32" t="inlineStr">
        <is>
          <t>강구</t>
        </is>
      </c>
      <c r="C10" s="31" t="inlineStr">
        <is>
          <t>Ø6mm</t>
        </is>
      </c>
      <c r="D10" s="31" t="n">
        <v>3</v>
      </c>
      <c r="E10" s="32" t="inlineStr">
        <is>
          <t>개</t>
        </is>
      </c>
      <c r="F10" s="33" t="n"/>
      <c r="G10" s="34">
        <f>D10*F10</f>
        <v/>
      </c>
      <c r="H10" s="32" t="inlineStr">
        <is>
          <t>변속 디텐트(단 고정)</t>
        </is>
      </c>
      <c r="I10" s="32" t="inlineStr">
        <is>
          <t>확정</t>
        </is>
      </c>
      <c r="J10" s="32" t="inlineStr">
        <is>
          <t>묶음 판매 시 최소 수량</t>
        </is>
      </c>
    </row>
    <row r="11" ht="29.25" customHeight="1" s="16">
      <c r="A11" s="31" t="n">
        <v>7</v>
      </c>
      <c r="B11" s="32" t="inlineStr">
        <is>
          <t>압축 스프링</t>
        </is>
      </c>
      <c r="C11" s="32" t="inlineStr">
        <is>
          <t>선경 0.5~0.6mm, 외경 5~6mm, 길이 10mm 내외</t>
        </is>
      </c>
      <c r="D11" s="31" t="n">
        <v>3</v>
      </c>
      <c r="E11" s="32" t="inlineStr">
        <is>
          <t>개</t>
        </is>
      </c>
      <c r="F11" s="33" t="n"/>
      <c r="G11" s="34">
        <f>D11*F11</f>
        <v/>
      </c>
      <c r="H11" s="32" t="inlineStr">
        <is>
          <t>변속 디텐트</t>
        </is>
      </c>
      <c r="I11" s="32" t="inlineStr">
        <is>
          <t>확정</t>
        </is>
      </c>
      <c r="J11" s="32" t="inlineStr">
        <is>
          <t>묶음 판매 시 최소 수량</t>
        </is>
      </c>
    </row>
    <row r="12" ht="15" customHeight="1" s="16">
      <c r="A12" s="31" t="n">
        <v>8</v>
      </c>
      <c r="B12" s="32" t="inlineStr">
        <is>
          <t>볼트·너트 세트</t>
        </is>
      </c>
      <c r="C12" s="31" t="inlineStr">
        <is>
          <t>M3, M4 (길이 10~30mm 혼합)</t>
        </is>
      </c>
      <c r="D12" s="31" t="n">
        <v>1</v>
      </c>
      <c r="E12" s="32" t="inlineStr">
        <is>
          <t>세트</t>
        </is>
      </c>
      <c r="F12" s="33" t="n"/>
      <c r="G12" s="34">
        <f>D12*F12</f>
        <v/>
      </c>
      <c r="H12" s="32" t="inlineStr">
        <is>
          <t>프레임·베어링 블록 고정</t>
        </is>
      </c>
      <c r="I12" s="32" t="inlineStr">
        <is>
          <t>확정</t>
        </is>
      </c>
      <c r="J12" s="31" t="n"/>
    </row>
    <row r="13" ht="15" customHeight="1" s="16">
      <c r="A13" s="31" t="n">
        <v>9</v>
      </c>
      <c r="B13" s="32" t="inlineStr">
        <is>
          <t>와셔</t>
        </is>
      </c>
      <c r="C13" s="31" t="inlineStr">
        <is>
          <t>M12</t>
        </is>
      </c>
      <c r="D13" s="31" t="n">
        <v>2</v>
      </c>
      <c r="E13" s="32" t="inlineStr">
        <is>
          <t>개</t>
        </is>
      </c>
      <c r="F13" s="33" t="n"/>
      <c r="G13" s="34">
        <f>D13*F13</f>
        <v/>
      </c>
      <c r="H13" s="32" t="inlineStr">
        <is>
          <t>맞물림 시험 지그</t>
        </is>
      </c>
      <c r="I13" s="32" t="inlineStr">
        <is>
          <t>확정</t>
        </is>
      </c>
      <c r="J13" s="31" t="n"/>
    </row>
    <row r="14" ht="15" customHeight="1" s="16">
      <c r="A14" s="31" t="n">
        <v>10</v>
      </c>
      <c r="B14" s="31" t="inlineStr">
        <is>
          <t>MDF 판</t>
        </is>
      </c>
      <c r="C14" s="31" t="inlineStr">
        <is>
          <t>350×200×12mm</t>
        </is>
      </c>
      <c r="D14" s="31" t="n">
        <v>1</v>
      </c>
      <c r="E14" s="32" t="inlineStr">
        <is>
          <t>장</t>
        </is>
      </c>
      <c r="F14" s="33" t="n"/>
      <c r="G14" s="34">
        <f>D14*F14</f>
        <v/>
      </c>
      <c r="H14" s="32" t="inlineStr">
        <is>
          <t>바닥판</t>
        </is>
      </c>
      <c r="I14" s="32" t="inlineStr">
        <is>
          <t>확정</t>
        </is>
      </c>
      <c r="J14" s="32" t="inlineStr">
        <is>
          <t>학교 재고가 있으면 생략</t>
        </is>
      </c>
    </row>
    <row r="15" ht="15" customHeight="1" s="16">
      <c r="A15" s="35" t="n">
        <v>11</v>
      </c>
      <c r="B15" s="36" t="inlineStr">
        <is>
          <t>축 커플링</t>
        </is>
      </c>
      <c r="C15" s="36" t="inlineStr">
        <is>
          <t>기어헤드 출력축 지름 × Ø12mm</t>
        </is>
      </c>
      <c r="D15" s="35" t="n">
        <v>1</v>
      </c>
      <c r="E15" s="36" t="inlineStr">
        <is>
          <t>개</t>
        </is>
      </c>
      <c r="F15" s="33" t="n"/>
      <c r="G15" s="37">
        <f>D15*F15</f>
        <v/>
      </c>
      <c r="H15" s="36" t="inlineStr">
        <is>
          <t>모터(기어헤드)–입력축 연결</t>
        </is>
      </c>
      <c r="I15" s="36" t="inlineStr">
        <is>
          <t>보류</t>
        </is>
      </c>
      <c r="J15" s="36" t="inlineStr">
        <is>
          <t>기어헤드 출력축 지름 확인 후 확정</t>
        </is>
      </c>
    </row>
    <row r="16" ht="15" customHeight="1" s="16">
      <c r="A16" s="35" t="n">
        <v>12</v>
      </c>
      <c r="B16" s="36" t="inlineStr">
        <is>
          <t>클러치(토크 제한) 부품</t>
        </is>
      </c>
      <c r="C16" s="36" t="inlineStr">
        <is>
          <t>미정</t>
        </is>
      </c>
      <c r="D16" s="35" t="n">
        <v>1</v>
      </c>
      <c r="E16" s="36" t="inlineStr">
        <is>
          <t>식</t>
        </is>
      </c>
      <c r="F16" s="33" t="n"/>
      <c r="G16" s="37">
        <f>D16*F16</f>
        <v/>
      </c>
      <c r="H16" s="35" t="inlineStr">
        <is>
          <t>PLA 기어 보호 + 클러치 조작</t>
        </is>
      </c>
      <c r="I16" s="36" t="inlineStr">
        <is>
          <t>보류</t>
        </is>
      </c>
      <c r="J16" s="36" t="inlineStr">
        <is>
          <t>기어헤드 감속비 확인 후 설계</t>
        </is>
      </c>
    </row>
    <row r="17" ht="15" customHeight="1" s="16">
      <c r="A17" s="31" t="n">
        <v>13</v>
      </c>
      <c r="B17" s="31" t="inlineStr">
        <is>
          <t>PLA 필라멘트</t>
        </is>
      </c>
      <c r="C17" s="31" t="inlineStr">
        <is>
          <t>2.85mm</t>
        </is>
      </c>
      <c r="D17" s="31" t="n">
        <v>1</v>
      </c>
      <c r="E17" s="32" t="inlineStr">
        <is>
          <t>롤</t>
        </is>
      </c>
      <c r="F17" s="37" t="n">
        <v>0</v>
      </c>
      <c r="G17" s="34">
        <f>D17*F17</f>
        <v/>
      </c>
      <c r="H17" s="32" t="inlineStr">
        <is>
          <t>부품 출력</t>
        </is>
      </c>
      <c r="I17" s="32" t="inlineStr">
        <is>
          <t>구매 완료</t>
        </is>
      </c>
      <c r="J17" s="32" t="inlineStr">
        <is>
          <t>금액 0 처리</t>
        </is>
      </c>
    </row>
    <row r="18" ht="16.5" customHeight="1" s="16">
      <c r="A18" s="31" t="n">
        <v>14</v>
      </c>
      <c r="B18" s="32" t="inlineStr">
        <is>
          <t>아두이노 레오나르도 (ATmega32u4)</t>
        </is>
      </c>
      <c r="C18" s="31" t="inlineStr">
        <is>
          <t>USB 게임 컨트롤러로 인식되는 보드 (Pro Micro도 가능)</t>
        </is>
      </c>
      <c r="D18" s="31" t="n">
        <v>1</v>
      </c>
      <c r="E18" s="32" t="inlineStr">
        <is>
          <t>개</t>
        </is>
      </c>
      <c r="F18" s="33" t="n"/>
      <c r="G18" s="34">
        <f>D18*F18</f>
        <v/>
      </c>
      <c r="H18" s="32" t="inlineStr">
        <is>
          <t>센서 → PC 게임 입력</t>
        </is>
      </c>
      <c r="I18" s="32" t="inlineStr">
        <is>
          <t>확정</t>
        </is>
      </c>
      <c r="J18" s="32" t="inlineStr">
        <is>
          <t>일반 우노는 USB 게임패드로 인식 안 됨</t>
        </is>
      </c>
    </row>
    <row r="19" ht="16.5" customHeight="1" s="16">
      <c r="A19" s="31" t="n">
        <v>15</v>
      </c>
      <c r="B19" s="32" t="inlineStr">
        <is>
          <t>홀 센서 (디지털)</t>
        </is>
      </c>
      <c r="C19" s="31" t="inlineStr">
        <is>
          <t>A3144 또는 동급, 5V</t>
        </is>
      </c>
      <c r="D19" s="31" t="n">
        <v>7</v>
      </c>
      <c r="E19" s="32" t="inlineStr">
        <is>
          <t>개</t>
        </is>
      </c>
      <c r="F19" s="33" t="n"/>
      <c r="G19" s="34">
        <f>D19*F19</f>
        <v/>
      </c>
      <c r="H19" s="32" t="inlineStr">
        <is>
          <t>변속 레일 3개×2 = 기어 위치 6, 출력축 회전수 1</t>
        </is>
      </c>
      <c r="I19" s="32" t="inlineStr">
        <is>
          <t>확정</t>
        </is>
      </c>
      <c r="J19" s="32" t="n"/>
    </row>
    <row r="20" ht="15" customHeight="1" s="16">
      <c r="A20" s="31" t="n">
        <v>16</v>
      </c>
      <c r="B20" s="32" t="inlineStr">
        <is>
          <t>네오디뮴 자석</t>
        </is>
      </c>
      <c r="C20" s="31" t="inlineStr">
        <is>
          <t>Ø6×3mm</t>
        </is>
      </c>
      <c r="D20" s="31" t="n">
        <v>7</v>
      </c>
      <c r="E20" s="32" t="inlineStr">
        <is>
          <t>개</t>
        </is>
      </c>
      <c r="F20" s="33" t="n"/>
      <c r="G20" s="34">
        <f>D20*F20</f>
        <v/>
      </c>
      <c r="H20" s="32" t="inlineStr">
        <is>
          <t>홀 센서 감지용</t>
        </is>
      </c>
      <c r="I20" s="32" t="inlineStr">
        <is>
          <t>확정</t>
        </is>
      </c>
      <c r="J20" s="32" t="inlineStr">
        <is>
          <t>묶음 판매 시 최소 수량</t>
        </is>
      </c>
    </row>
    <row r="21" ht="15" customHeight="1" s="16">
      <c r="A21" s="31" t="n">
        <v>17</v>
      </c>
      <c r="B21" s="32" t="inlineStr">
        <is>
          <t>가변저항</t>
        </is>
      </c>
      <c r="C21" s="31" t="inlineStr">
        <is>
          <t>10kΩ 회전형(B타입), 축 6mm</t>
        </is>
      </c>
      <c r="D21" s="31" t="n">
        <v>3</v>
      </c>
      <c r="E21" s="32" t="inlineStr">
        <is>
          <t>개</t>
        </is>
      </c>
      <c r="F21" s="33" t="n"/>
      <c r="G21" s="34">
        <f>D21*F21</f>
        <v/>
      </c>
      <c r="H21" s="32" t="inlineStr">
        <is>
          <t>핸들 조향각, 클러치 페달, 브레이크 페달</t>
        </is>
      </c>
      <c r="I21" s="32" t="inlineStr">
        <is>
          <t>확정</t>
        </is>
      </c>
      <c r="J21" s="32" t="n"/>
    </row>
    <row r="22" ht="15" customHeight="1" s="16">
      <c r="A22" s="31" t="n">
        <v>18</v>
      </c>
      <c r="B22" s="32" t="inlineStr">
        <is>
          <t>점퍼선·만능기판 세트</t>
        </is>
      </c>
      <c r="C22" s="32" t="inlineStr">
        <is>
          <t>듀폰 점퍼선 40P + 만능기판</t>
        </is>
      </c>
      <c r="D22" s="31" t="n">
        <v>1</v>
      </c>
      <c r="E22" s="32" t="inlineStr">
        <is>
          <t>세트</t>
        </is>
      </c>
      <c r="F22" s="33" t="n"/>
      <c r="G22" s="34">
        <f>D22*F22</f>
        <v/>
      </c>
      <c r="H22" s="32" t="inlineStr">
        <is>
          <t>센서 배선</t>
        </is>
      </c>
      <c r="I22" s="32" t="inlineStr">
        <is>
          <t>확정</t>
        </is>
      </c>
      <c r="J22" s="32" t="n"/>
    </row>
    <row r="23" ht="29.25" customHeight="1" s="16">
      <c r="A23" s="31" t="n">
        <v>19</v>
      </c>
      <c r="B23" s="32" t="inlineStr">
        <is>
          <t>USB 케이블</t>
        </is>
      </c>
      <c r="C23" s="32" t="inlineStr">
        <is>
          <t>아두이노 레오나르도 규격 (마이크로 5핀)</t>
        </is>
      </c>
      <c r="D23" s="31" t="n">
        <v>1</v>
      </c>
      <c r="E23" s="32" t="inlineStr">
        <is>
          <t>개</t>
        </is>
      </c>
      <c r="F23" s="33" t="n"/>
      <c r="G23" s="34">
        <f>D23*F23</f>
        <v/>
      </c>
      <c r="H23" s="32" t="inlineStr">
        <is>
          <t>PC 연결</t>
        </is>
      </c>
      <c r="I23" s="32" t="inlineStr">
        <is>
          <t>확정</t>
        </is>
      </c>
      <c r="J23" s="32" t="inlineStr">
        <is>
          <t>보드 구매 시 포함 여부 확인</t>
        </is>
      </c>
    </row>
    <row r="24" ht="15" customHeight="1" s="16">
      <c r="A24" s="35" t="n">
        <v>20</v>
      </c>
      <c r="B24" s="36" t="inlineStr">
        <is>
          <t>투명 아크릴 판</t>
        </is>
      </c>
      <c r="C24" s="36" t="inlineStr">
        <is>
          <t>두께 3mm, 크기는 프레임 확정 후</t>
        </is>
      </c>
      <c r="D24" s="35" t="n">
        <v>1</v>
      </c>
      <c r="E24" s="36" t="inlineStr">
        <is>
          <t>식</t>
        </is>
      </c>
      <c r="F24" s="33" t="n"/>
      <c r="G24" s="37">
        <f>D24*F24</f>
        <v/>
      </c>
      <c r="H24" s="36" t="inlineStr">
        <is>
          <t>기어부 안전 덮개</t>
        </is>
      </c>
      <c r="I24" s="36" t="inlineStr">
        <is>
          <t>보류</t>
        </is>
      </c>
      <c r="J24" s="36" t="inlineStr">
        <is>
          <t>프레임 치수 확정 후</t>
        </is>
      </c>
    </row>
    <row r="25" ht="15" customHeight="1" s="16">
      <c r="A25" s="35" t="n">
        <v>21</v>
      </c>
      <c r="B25" s="36" t="inlineStr">
        <is>
          <t>비상정지 스위치</t>
        </is>
      </c>
      <c r="C25" s="36" t="inlineStr">
        <is>
          <t>버섯형, 정격 전류는 모터 전류 확인 후</t>
        </is>
      </c>
      <c r="D25" s="35" t="n">
        <v>1</v>
      </c>
      <c r="E25" s="36" t="inlineStr">
        <is>
          <t>개</t>
        </is>
      </c>
      <c r="F25" s="33" t="n"/>
      <c r="G25" s="37">
        <f>D25*F25</f>
        <v/>
      </c>
      <c r="H25" s="36" t="inlineStr">
        <is>
          <t>운영자 비상 전원 차단</t>
        </is>
      </c>
      <c r="I25" s="36" t="inlineStr">
        <is>
          <t>보류</t>
        </is>
      </c>
      <c r="J25" s="36" t="inlineStr">
        <is>
          <t>감속기·모터 W 확인 후</t>
        </is>
      </c>
    </row>
    <row r="26" ht="16.5" customHeight="1" s="16">
      <c r="A26" s="31" t="n">
        <v>22</v>
      </c>
      <c r="B26" s="32" t="inlineStr">
        <is>
          <t>인장 스프링</t>
        </is>
      </c>
      <c r="C26" s="32" t="inlineStr">
        <is>
          <t>선경 1mm, 외경 8mm, 길이 40mm 내외</t>
        </is>
      </c>
      <c r="D26" s="31" t="n">
        <v>2</v>
      </c>
      <c r="E26" s="32" t="inlineStr">
        <is>
          <t>개</t>
        </is>
      </c>
      <c r="F26" s="33" t="n"/>
      <c r="G26" s="34">
        <f>D26*F26</f>
        <v/>
      </c>
      <c r="H26" s="32" t="inlineStr">
        <is>
          <t>새로 만드는 클러치·브레이크 페달 복귀용 (가속 페달은 기존 것 사용)</t>
        </is>
      </c>
      <c r="I26" s="32" t="inlineStr">
        <is>
          <t>확정</t>
        </is>
      </c>
      <c r="J26" s="32" t="n"/>
    </row>
    <row r="27" ht="16.5" customHeight="1" s="16">
      <c r="A27" s="31" t="n">
        <v>23</v>
      </c>
      <c r="B27" s="32" t="inlineStr">
        <is>
          <t>M6 볼트·너트</t>
        </is>
      </c>
      <c r="C27" s="31" t="inlineStr">
        <is>
          <t>M6×50mm + 나일론 너트</t>
        </is>
      </c>
      <c r="D27" s="31" t="n">
        <v>2</v>
      </c>
      <c r="E27" s="32" t="inlineStr">
        <is>
          <t>세트</t>
        </is>
      </c>
      <c r="F27" s="33" t="n"/>
      <c r="G27" s="34">
        <f>D27*F27</f>
        <v/>
      </c>
      <c r="H27" s="32" t="inlineStr">
        <is>
          <t>클러치·브레이크 페달 힌지 축</t>
        </is>
      </c>
      <c r="I27" s="32" t="inlineStr">
        <is>
          <t>확정</t>
        </is>
      </c>
      <c r="J27" s="32" t="n"/>
    </row>
    <row r="28" ht="15" customHeight="1" s="16">
      <c r="A28" s="35" t="n">
        <v>24</v>
      </c>
      <c r="B28" s="36" t="inlineStr">
        <is>
          <t>클러치 케이블</t>
        </is>
      </c>
      <c r="C28" s="36" t="inlineStr">
        <is>
          <t>자전거 브레이크 케이블 + 아우터</t>
        </is>
      </c>
      <c r="D28" s="35" t="n">
        <v>1</v>
      </c>
      <c r="E28" s="36" t="inlineStr">
        <is>
          <t>세트</t>
        </is>
      </c>
      <c r="F28" s="33" t="n"/>
      <c r="G28" s="37">
        <f>D28*F28</f>
        <v/>
      </c>
      <c r="H28" s="36" t="inlineStr">
        <is>
          <t>클러치 페달 → 실물 클러치</t>
        </is>
      </c>
      <c r="I28" s="36" t="inlineStr">
        <is>
          <t>보류</t>
        </is>
      </c>
      <c r="J28" s="36" t="inlineStr">
        <is>
          <t>클러치 설계 확정 후</t>
        </is>
      </c>
    </row>
    <row r="29" ht="16.5" customHeight="1" s="16">
      <c r="B29" s="38" t="inlineStr">
        <is>
          <t>합계 (확정 항목)</t>
        </is>
      </c>
      <c r="G29" s="39">
        <f>SUMIFS(G5:G28,I5:I28,"확정")</f>
        <v/>
      </c>
    </row>
    <row r="30" ht="16.5" customHeight="1" s="16">
      <c r="B30" s="38" t="inlineStr">
        <is>
          <t>합계 (보류 포함)</t>
        </is>
      </c>
      <c r="G30" s="39">
        <f>SUM(G5:G28)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2026-09-24T15:16:41Z</dcterms:created>
  <dcterms:modified xmlns:dcterms="http://purl.org/dc/terms/" xmlns:xsi="http://www.w3.org/2001/XMLSchema-instance" xsi:type="dcterms:W3CDTF">2026-10-20T11:41:08Z</dcterms:modified>
  <cp:revision>0</cp:revision>
</cp:coreProperties>
</file>