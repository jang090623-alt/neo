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coupang.com/vp/products/7119515778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coupang.com/vp/products/9661304796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coupang.com/vp/products/9169963218" TargetMode="External" Id="rId50" /><Relationship Type="http://schemas.openxmlformats.org/officeDocument/2006/relationships/hyperlink" Target="https://www.coupang.com/vp/products/7495734120" TargetMode="External" Id="rId51" /><Relationship Type="http://schemas.openxmlformats.org/officeDocument/2006/relationships/hyperlink" Target="https://www.coupang.com/vp/products/832453185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coupang.com/vp/products/7503391635" TargetMode="External" Id="rId55" /><Relationship Type="http://schemas.openxmlformats.org/officeDocument/2006/relationships/hyperlink" Target="https://www.coupang.com/vp/products/9496076712" TargetMode="External" Id="rId56" /><Relationship Type="http://schemas.openxmlformats.org/officeDocument/2006/relationships/hyperlink" Target="https://www.coupang.com/vp/products/9619089050" TargetMode="External" Id="rId57" /><Relationship Type="http://schemas.openxmlformats.org/officeDocument/2006/relationships/hyperlink" Target="https://www.coupang.com/vp/products/8301956558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7700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(PP-B057) 22파이 1A1B KGE-H4R1R (2026-10-20 확인) · 배송비 3,000 · 22mm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아두이노 1채널 5V 릴레이 모듈 (2026-10-20 확인) · 배송비 3,000 · 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</v>
      </c>
      <c r="E56" s="32" t="inlineStr">
        <is>
          <t>봉(10개)</t>
        </is>
      </c>
      <c r="F56" s="33" t="n">
        <v>200</v>
      </c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1N4007 10개 묶음 (2026-10-20 확인) · 배송비 2,700 · 2개 사용 (역기전력 1 + 여분)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>
        <v>830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10K 10개 330 + 4.7K 10개 500, 판매처 2곳 (배송비 3,000 × 2, 2026-10-20 확인) · 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>
        <v>30600</v>
      </c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옵션 "2.85mm 화이트" 1kg 30,600 (해외, 무료배송, 11/5 도착 예정, 판매자 평가 없음, 2026-10-20 확인) · 국내 2.85 PLA 는 UltiMaker 750g 75,900 뿐</t>
        </is>
      </c>
    </row>
    <row r="61" ht="29.25" customHeight="1" s="16">
      <c r="A61" s="31" t="n">
        <v>57</v>
      </c>
      <c r="B61" s="32" t="inlineStr">
        <is>
          <t>걸이 저울</t>
        </is>
      </c>
      <c r="C61" s="31" t="inlineStr">
        <is>
          <t>0~5kg, 10g 단위</t>
        </is>
      </c>
      <c r="D61" s="31" t="n">
        <v>1</v>
      </c>
      <c r="E61" s="32" t="inlineStr">
        <is>
          <t>개</t>
        </is>
      </c>
      <c r="F61" s="33" t="n">
        <v>13550</v>
      </c>
      <c r="G61" s="34">
        <f>D61*F61</f>
        <v/>
      </c>
      <c r="H61" s="32" t="inlineStr">
        <is>
          <t>클러치 미끄럼 토크·끌림 토크 측정</t>
        </is>
      </c>
      <c r="I61" s="32" t="inlineStr">
        <is>
          <t>확정</t>
        </is>
      </c>
      <c r="J61" s="32" t="inlineStr">
        <is>
          <t>디지털 행잉 저울 60kg / 10g 단위 (2026-10-20 확인) · 무료배송</t>
        </is>
      </c>
    </row>
    <row r="62" ht="29.25" customHeight="1" s="16">
      <c r="A62" s="31" t="n">
        <v>58</v>
      </c>
      <c r="B62" s="32" t="inlineStr">
        <is>
          <t>디지털 캘리퍼스</t>
        </is>
      </c>
      <c r="C62" s="31" t="inlineStr">
        <is>
          <t>0.01mm 표시, 150mm</t>
        </is>
      </c>
      <c r="D62" s="31" t="n">
        <v>1</v>
      </c>
      <c r="E62" s="32" t="inlineStr">
        <is>
          <t>개</t>
        </is>
      </c>
      <c r="F62" s="33" t="n">
        <v>7000</v>
      </c>
      <c r="G62" s="34">
        <f>D62*F62</f>
        <v/>
      </c>
      <c r="H62" s="32" t="inlineStr">
        <is>
          <t>쿠폰·핀 구멍·축 지름·가변저항 실측</t>
        </is>
      </c>
      <c r="I62" s="32" t="inlineStr">
        <is>
          <t>확정</t>
        </is>
      </c>
      <c r="J62" s="32" t="inlineStr">
        <is>
          <t>종원 디지털 캘리퍼스 201-150 (2026-10-20 확인) · 무료배송</t>
        </is>
      </c>
    </row>
    <row r="63" ht="29.25" customHeight="1" s="16">
      <c r="A63" s="31" t="n">
        <v>59</v>
      </c>
      <c r="B63" s="32" t="inlineStr">
        <is>
          <t>배송비</t>
        </is>
      </c>
      <c r="C63" s="31" t="inlineStr">
        <is>
          <t>새 판매처 포함</t>
        </is>
      </c>
      <c r="D63" s="31" t="n">
        <v>1</v>
      </c>
      <c r="E63" s="32" t="inlineStr">
        <is>
          <t>식</t>
        </is>
      </c>
      <c r="F63" s="33" t="n">
        <v>67900</v>
      </c>
      <c r="G63" s="34">
        <f>D63*F63</f>
        <v/>
      </c>
      <c r="H63" s="32" t="n"/>
      <c r="I63" s="32" t="inlineStr">
        <is>
          <t>확정</t>
        </is>
      </c>
      <c r="J63" s="32" t="inlineStr">
        <is>
          <t>v3 22,900 + 새 판매처 45,000 (2026-10-20 확인): KYK 3,000 · 평행핀 5x40 4,000 · 리우툴 3,000 · 무두볼트 3,000 · 목재나사 2,800 · 코르크 2,500 · 릴레이 3,000 · 비상정지 3,000 · 5V 모듈 3,000 · 1N4007 2,700 · 전선 3,000 · 압착단자 3,000 · 저항 3,000×2 · 소망트레이딩 3,000 / 디바이스마트(66,000 이상)·나머지 무료배송</t>
        </is>
      </c>
    </row>
    <row r="64">
      <c r="B64" s="38" t="inlineStr">
        <is>
          <t>합계 (확정 항목, 단가 입력된 것만)</t>
        </is>
      </c>
      <c r="G64" s="39">
        <f>SUMIFS(G5:G63,I5:I63,"확정")</f>
        <v/>
      </c>
    </row>
    <row r="65">
      <c r="B65" s="38" t="inlineStr">
        <is>
          <t>합계 (선택 포함)</t>
        </is>
      </c>
      <c r="G65" s="39">
        <f>SUM(G5:G63)</f>
        <v/>
      </c>
    </row>
    <row r="66">
      <c r="B66" s="38" t="inlineStr">
        <is>
          <t>단가 미확인 항목 수</t>
        </is>
      </c>
      <c r="G66" s="40">
        <f>COUNTBLANK(F5:F63)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  <hyperlink xmlns:r="http://schemas.openxmlformats.org/officeDocument/2006/relationships" ref="B62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게시판·카카오톡에 아래 문구 그대로: "열처리 연마봉 Ø12 를 아래처럼 절단·가공 가능한지, 가격이 얼마인지 문의드립니다.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→ D컷 불가면 435·358 만 미스미 양면 D컷 샤프트(길이 지정)로, 나머지는 소망트레이딩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도착 후</t>
        </is>
      </c>
      <c r="B6" s="42" t="inlineStr">
        <is>
          <t>—</t>
        </is>
      </c>
      <c r="C6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2026-10-20T12:42:49Z</dcterms:modified>
  <cp:revision>0</cp:revision>
</cp:coreProperties>
</file>