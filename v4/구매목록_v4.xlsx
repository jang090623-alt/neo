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구매목록_v4" sheetId="1" state="visible" r:id="rId1"/>
    <sheet name="주문방법" sheetId="2" state="visible" r:id="rId2"/>
    <sheet name="구매목록_v3" sheetId="3" state="visible" r:id="rId3"/>
    <sheet name="구매목록_v2(9-25)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 /><Relationship Type="http://schemas.openxmlformats.org/officeDocument/2006/relationships/hyperlink" Target="https://www.coupang.com/vp/products/8230435105" TargetMode="External" Id="rId2" /><Relationship Type="http://schemas.openxmlformats.org/officeDocument/2006/relationships/hyperlink" Target="https://smball.co.kr" TargetMode="External" Id="rId3" /><Relationship Type="http://schemas.openxmlformats.org/officeDocument/2006/relationships/hyperlink" Target="https://smball.co.kr/product/detail.html?product_no=50" TargetMode="External" Id="rId4" /><Relationship Type="http://schemas.openxmlformats.org/officeDocument/2006/relationships/hyperlink" Target="https://smball.co.kr/product/detail.html?product_no=50" TargetMode="External" Id="rId5" /><Relationship Type="http://schemas.openxmlformats.org/officeDocument/2006/relationships/hyperlink" Target="https://www.coupang.com/vp/products/9743421687" TargetMode="External" Id="rId6" /><Relationship Type="http://schemas.openxmlformats.org/officeDocument/2006/relationships/hyperlink" Target="https://www.coupang.com/vp/products/8532354386" TargetMode="External" Id="rId7" /><Relationship Type="http://schemas.openxmlformats.org/officeDocument/2006/relationships/hyperlink" Target="https://www.coupang.com/vp/products/8558801755" TargetMode="External" Id="rId8" /><Relationship Type="http://schemas.openxmlformats.org/officeDocument/2006/relationships/hyperlink" Target="https://www.coupang.com/vp/products/6305734042" TargetMode="External" Id="rId9" /><Relationship Type="http://schemas.openxmlformats.org/officeDocument/2006/relationships/hyperlink" Target="https://www.coupang.com/vp/products/4845669553" TargetMode="External" Id="rId10" /><Relationship Type="http://schemas.openxmlformats.org/officeDocument/2006/relationships/hyperlink" Target="https://www.devicemart.co.kr/goods/view?no=15336269" TargetMode="External" Id="rId11" /><Relationship Type="http://schemas.openxmlformats.org/officeDocument/2006/relationships/hyperlink" Target="https://www.devicemart.co.kr/goods/view?no=15336164" TargetMode="External" Id="rId12" /><Relationship Type="http://schemas.openxmlformats.org/officeDocument/2006/relationships/hyperlink" Target="https://www.coupang.com/vp/products/9638493021" TargetMode="External" Id="rId13" /><Relationship Type="http://schemas.openxmlformats.org/officeDocument/2006/relationships/hyperlink" Target="https://www.coupang.com/vp/products/9669133315" TargetMode="External" Id="rId14" /><Relationship Type="http://schemas.openxmlformats.org/officeDocument/2006/relationships/hyperlink" Target="https://www.coupang.com/vp/products/6455358137" TargetMode="External" Id="rId15" /><Relationship Type="http://schemas.openxmlformats.org/officeDocument/2006/relationships/hyperlink" Target="https://www.coupang.com/vp/products/6455358137" TargetMode="External" Id="rId16" /><Relationship Type="http://schemas.openxmlformats.org/officeDocument/2006/relationships/hyperlink" Target="https://www.coupang.com/vp/products/6455358137" TargetMode="External" Id="rId17" /><Relationship Type="http://schemas.openxmlformats.org/officeDocument/2006/relationships/hyperlink" Target="https://www.coupang.com/vp/products/6455358137" TargetMode="External" Id="rId18" /><Relationship Type="http://schemas.openxmlformats.org/officeDocument/2006/relationships/hyperlink" Target="https://www.coupang.com/vp/products/6455358137" TargetMode="External" Id="rId19" /><Relationship Type="http://schemas.openxmlformats.org/officeDocument/2006/relationships/hyperlink" Target="https://www.coupang.com/vp/products/6455358137" TargetMode="External" Id="rId20" /><Relationship Type="http://schemas.openxmlformats.org/officeDocument/2006/relationships/hyperlink" Target="https://www.coupang.com/vp/products/6455358137" TargetMode="External" Id="rId21" /><Relationship Type="http://schemas.openxmlformats.org/officeDocument/2006/relationships/hyperlink" Target="https://www.coupang.com/vp/products/7974822838" TargetMode="External" Id="rId22" /><Relationship Type="http://schemas.openxmlformats.org/officeDocument/2006/relationships/hyperlink" Target="https://www.coupang.com/vp/products/7440529428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6455358137" TargetMode="External" Id="rId29" /><Relationship Type="http://schemas.openxmlformats.org/officeDocument/2006/relationships/hyperlink" Target="https://www.coupang.com/vp/products/6455358137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7687671245" TargetMode="External" Id="rId33" /><Relationship Type="http://schemas.openxmlformats.org/officeDocument/2006/relationships/hyperlink" Target="https://www.coupang.com/vp/products/6280971320" TargetMode="External" Id="rId34" /><Relationship Type="http://schemas.openxmlformats.org/officeDocument/2006/relationships/hyperlink" Target="https://www.coupang.com/vp/products/7760964029" TargetMode="External" Id="rId35" /><Relationship Type="http://schemas.openxmlformats.org/officeDocument/2006/relationships/hyperlink" Target="https://www.coupang.com/vp/products/2725054" TargetMode="External" Id="rId36" /><Relationship Type="http://schemas.openxmlformats.org/officeDocument/2006/relationships/hyperlink" Target="https://www.coupang.com/vp/products/8643897709" TargetMode="External" Id="rId37" /><Relationship Type="http://schemas.openxmlformats.org/officeDocument/2006/relationships/hyperlink" Target="https://www.coupang.com/vp/products/8305908512" TargetMode="External" Id="rId38" /><Relationship Type="http://schemas.openxmlformats.org/officeDocument/2006/relationships/hyperlink" Target="https://www.coupang.com/vp/products/71452005" TargetMode="External" Id="rId39" /><Relationship Type="http://schemas.openxmlformats.org/officeDocument/2006/relationships/hyperlink" Target="https://www.coupang.com/vp/products/9593337115" TargetMode="External" Id="rId40" /><Relationship Type="http://schemas.openxmlformats.org/officeDocument/2006/relationships/hyperlink" Target="https://www.coupang.com/vp/products/1119152790" TargetMode="External" Id="rId41" /><Relationship Type="http://schemas.openxmlformats.org/officeDocument/2006/relationships/hyperlink" Target="https://www.coupang.com/vp/products/8520223332" TargetMode="External" Id="rId42" /><Relationship Type="http://schemas.openxmlformats.org/officeDocument/2006/relationships/hyperlink" Target="https://www.devicemart.co.kr/goods/view?no=31671" TargetMode="External" Id="rId43" /><Relationship Type="http://schemas.openxmlformats.org/officeDocument/2006/relationships/hyperlink" Target="https://www.devicemart.co.kr/goods/view?no=16130996" TargetMode="External" Id="rId44" /><Relationship Type="http://schemas.openxmlformats.org/officeDocument/2006/relationships/hyperlink" Target="https://www.coupang.com/vp/products/9167678186" TargetMode="External" Id="rId45" /><Relationship Type="http://schemas.openxmlformats.org/officeDocument/2006/relationships/hyperlink" Target="https://www.coupang.com/vp/products/9699042565" TargetMode="External" Id="rId46" /><Relationship Type="http://schemas.openxmlformats.org/officeDocument/2006/relationships/hyperlink" Target="https://www.devicemart.co.kr/goods/view?no=12506669" TargetMode="External" Id="rId47" /><Relationship Type="http://schemas.openxmlformats.org/officeDocument/2006/relationships/hyperlink" Target="https://www.coupang.com/vp/products/6667848502" TargetMode="External" Id="rId48" /><Relationship Type="http://schemas.openxmlformats.org/officeDocument/2006/relationships/hyperlink" Target="https://www.coupang.com/vp/products/9663070188" TargetMode="External" Id="rId49" /><Relationship Type="http://schemas.openxmlformats.org/officeDocument/2006/relationships/hyperlink" Target="https://www.devicemart.co.kr/goods/view?no=10895020" TargetMode="External" Id="rId50" /><Relationship Type="http://schemas.openxmlformats.org/officeDocument/2006/relationships/hyperlink" Target="https://www.devicemart.co.kr/goods/view?no=1327543" TargetMode="External" Id="rId51" /><Relationship Type="http://schemas.openxmlformats.org/officeDocument/2006/relationships/hyperlink" Target="https://www.devicemart.co.kr/goods/view?no=3011" TargetMode="External" Id="rId52" /><Relationship Type="http://schemas.openxmlformats.org/officeDocument/2006/relationships/hyperlink" Target="https://www.coupang.com/vp/products/7225302003" TargetMode="External" Id="rId53" /><Relationship Type="http://schemas.openxmlformats.org/officeDocument/2006/relationships/hyperlink" Target="https://www.coupang.com/vp/products/8667960491" TargetMode="External" Id="rId54" /><Relationship Type="http://schemas.openxmlformats.org/officeDocument/2006/relationships/hyperlink" Target="https://www.devicemart.co.kr/goods/view?no=856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미확인입니다. 나머지 단가는 2026-10-20 쿠팡 등에서 확인. 품명을 누르면 고른 상품으로 (스프링·가변저항은 디바이스마트, 축은 소망트레이딩). 판매처별 주문 방법은 두 번째 시트 '주문방법'.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>
        <v>1100</v>
      </c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KYK 6003ZZ 1개 (표준 17×35×10) · 배송비 3,000 · 2026-10-20 확인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소망트레이딩(smball.co.kr) · 절단·양면 D컷 가능 여부·비용 미확인 → 불가하면 미스미 양면 D컷 샤프트(길이 지정)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>
        <v>1600</v>
      </c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소망트레이딩 "열처리 연마봉 절단 판매" 12파이 100mm 옵션 1,600 (2026-10-20 확인) · 55 절단은 문의 문구대로 요청 (안 되면 100 받아서 자름)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>
        <v>5200</v>
      </c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6파이 400mm 옵션 5,200/개 (2026-10-20 확인) · 371 절단 요청 (안 되면 400 받아서 자름) · 소망트레이딩 배송비 3,000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1</v>
      </c>
      <c r="E10" s="32" t="inlineStr">
        <is>
          <t>봉(100개)</t>
        </is>
      </c>
      <c r="F10" s="33" t="n">
        <v>27000</v>
      </c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국산 SUS 평행핀 "M5 (+)공차 / 25mm × 100개" 옵션 (공차 0~+0.01, 무료배송, 2026-10-20 확인) · 28개 필요 · 소량(30개) 해외 상품은 19,500 이나 널링 여부 불명확해 제외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>
        <v>440</v>
      </c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국산 SUS 평행핀 M5 (+) 0~+0.01, 5x40 낱개 (2026-10-20 확인) · 배송비 4,000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개(약2m)</t>
        </is>
      </c>
      <c r="F12" s="33" t="n">
        <v>8900</v>
      </c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진공호스(카박스) 내경 5 · 외경 10 · 약 2m, 국내생산 (2026-10-20 확인) · 재질 표기 없음(고무) → 도착 후 경도 손으로 확인, 너무 무르면 실리콘 70도 5x10 으로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>
        <v>710</v>
      </c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리우툴(판매자 우진카본볼트, 한 번 배송비 3,000) 스텐 대와셔 "M16 × 50mm" 옵션 = 안지름 17·바깥 50·두께 3 (상세 표 확인, 2026-10-20 확인)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>
        <v>1890</v>
      </c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콜크쉬트 연갈색 2mm × A4 × 2매 (2026-10-20 확인) · 배송비 2,500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8,360원 = 1개 값(VAT 포함, 2026-10-20 화면 확인) · 반품 불가 · 준비 4~5일 · 재질 SUS304, 하중 ±10%, 끝면 연삭 · 선경 미표기 → k·허용 길이로 역산 선경 1.7 이하, 안지름 14.6 이상 (필요 12.5, 실측 전)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6.1, 바깥지름 11, 폭 6, 멈춤나사형 (RC 휠 칼라, 10개)</t>
        </is>
      </c>
      <c r="D18" s="31" t="n">
        <v>1</v>
      </c>
      <c r="E18" s="32" t="inlineStr">
        <is>
          <t>봉(10개)</t>
        </is>
      </c>
      <c r="F18" s="33" t="n">
        <v>14800</v>
      </c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옵션 "01 D11xd6.1xH6mm" 14,800 (해외, 무료배송, 11/4 도착 예정, 2026-10-20 확인) · 6개 필요 · 바깥 11 ≤ 12 → 카트리지 구멍(13) 통과 · 폭 6 &lt; 설계값 8 (tx.RAIL_COLLAR) 이라 간섭 검사보다 작음 · 쿠팡 6/12/8 표준품(SOH6)은 1개 10,620 이라 제외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>
        <v>50</v>
      </c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리우툴(판매자 우진카본볼트, 한 번 배송비 3,000) 스텐 유두 렌치볼트 낱개 (2026-10-20 확인) · 모든 볼트는 렌치볼트(머리 Ø5.5): 부품의 머리 자리가 이 크기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>
        <v>60</v>
      </c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리우툴(판매자 우진카본볼트, 한 번 배송비 3,000) (2026-10-20 확인)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>
        <v>60</v>
      </c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 · 리우툴(판매자 우진카본볼트, 한 번 배송비 3,000) (2026-10-20 확인)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>
        <v>100</v>
      </c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리우툴(판매자 우진카본볼트, 한 번 배송비 3,000) (2026-10-20 확인)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>
        <v>130</v>
      </c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냄비머리(Ø6)는 육각 자리(맞변 5.7)에 안 들어감 · 리우툴(판매자 우진카본볼트, 한 번 배송비 3,000) 볼트 70 + 스텐 육각너트 M3 60 (2026-10-20 확인)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>
        <v>70</v>
      </c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 · 리우툴(판매자 우진카본볼트, 한 번 배송비 3,000) (2026-10-20 확인)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>
        <v>170</v>
      </c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리우툴(판매자 우진카본볼트, 한 번 배송비 3,000) (2026-10-20 확인)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>
        <v>60</v>
      </c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스텐 무두렌치볼트 오목끝 M3 8mm 낱개 (2026-10-20 확인) · 배송비 3,000 (리우툴 낱개 M3×8 없음)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8, 두께 0.5)</t>
        </is>
      </c>
      <c r="D27" s="31" t="n">
        <v>15</v>
      </c>
      <c r="E27" s="32" t="inlineStr">
        <is>
          <t>개</t>
        </is>
      </c>
      <c r="F27" s="33" t="n">
        <v>20</v>
      </c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리우툴(판매자 우진카본볼트, 한 번 배송비 3,000) "스텐 평와셔 M3x8x0.5T" (2026-10-20 확인) · 바깥 7 낱개는 쿠팡에 없어 8 로 · 속선 누름: 와셔 반지름 4 = 속선까지 거리 4 → 오히려 더 덮음, 포크 몸통 폭 18 안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>
        <v>170</v>
      </c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리우툴(판매자 우진카본볼트, 한 번 배송비 3,000) 볼트 110 + 너트 60 (2026-10-20 확인)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>
        <v>160</v>
      </c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리우툴(판매자 우진카본볼트, 한 번 배송비 3,000) 볼트 100 + 너트 60 (2026-10-20 확인)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>
        <v>190</v>
      </c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리우툴(판매자 우진카본볼트, 한 번 배송비 3,000) 볼트 130 + 너트 60 (2026-10-20 확인)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>
        <v>350</v>
      </c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리우툴(판매자 우진카본볼트, 한 번 배송비 3,000) 볼트 290 + 너트 60 (2026-10-20 확인)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>
        <v>200</v>
      </c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 · 리우툴(판매자 우진카본볼트, 한 번 배송비 3,000) 볼트 110 + 너트 90 (2026-10-20 확인)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>
        <v>230</v>
      </c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리우툴(판매자 우진카본볼트, 한 번 배송비 3,000) 볼트 140 + 너트 90 (2026-10-20 확인)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>
        <v>720</v>
      </c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확정</t>
        </is>
      </c>
      <c r="J34" s="32" t="inlineStr">
        <is>
          <t>시험 3 이 합격이면 안 씀 · 다시 주문하지 않으려고 같이 구매 · 리우툴(판매자 우진카본볼트, 한 번 배송비 3,000) 100×3 + 110×3 + 평와셔 M5x12x0.5T 30×3 (2026-10-20 확인)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>
        <v>550</v>
      </c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리우툴(판매자 우진카본볼트, 한 번 배송비 3,000) 볼트 470 + 스텐 나일론너트 M5 80 (2026-10-20 확인)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>
        <v>210</v>
      </c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리우툴(판매자 우진카본볼트, 한 번 배송비 3,000) (2026-10-20 확인)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>
        <v>60</v>
      </c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리우툴(판매자 우진카본볼트, 한 번 배송비 3,000) 스텐 육각너트 M6 (2026-10-20 확인)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>
        <v>170</v>
      </c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리우툴(판매자 우진카본볼트, 한 번 배송비 3,000) 스텐 나일론너트 M6 (2026-10-20 확인)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 둥근머리 1종 (스텐, 26개 봉)</t>
        </is>
      </c>
      <c r="D39" s="31" t="n">
        <v>1</v>
      </c>
      <c r="E39" s="32" t="inlineStr">
        <is>
          <t>봉(26개)</t>
        </is>
      </c>
      <c r="F39" s="33" t="n">
        <v>1150</v>
      </c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옵션 "1-5 스텐둥근1종(M4) e)4x16mm-26개" (2026-10-20 확인) · 24개 필요 · 배송비 2,800 · MDF 12T 에 10~11 박힘 · 4×20 이상은 밑으로 나옴 · 머리 자리 Ø9 → 와샤머리(Ø10 내외) 안 됨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>
        <v>4440</v>
      </c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Vtech 주사기 에폭시 25ml 1개 (2026-10-20 확인)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>
        <v>3000</v>
      </c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탐사 젤타입 2개 (2026-10-20 확인) · 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>
        <v>6900</v>
      </c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[RCM] 브레이크케이블세트 (속선 2줄 + 겉선 + 마감재, 2026-10-20 확인) · 아우터가 끝판 B 구멍 Ø6·페달 받침 Ø5.6 에 들어가야 함 (자전거 브레이크 겉선 표준 5)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7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</t>
        </is>
      </c>
      <c r="I46" s="32" t="inlineStr">
        <is>
          <t>확정</t>
        </is>
      </c>
      <c r="J46" s="32" t="inlineStr">
        <is>
          <t>v3 단가 · 쿠팡 /8520223332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</t>
        </is>
      </c>
      <c r="D47" s="31" t="n">
        <v>10</v>
      </c>
      <c r="E47" s="32" t="inlineStr">
        <is>
          <t>개</t>
        </is>
      </c>
      <c r="F47" s="33" t="n">
        <v>220</v>
      </c>
      <c r="G47" s="34">
        <f>D47*F47</f>
        <v/>
      </c>
      <c r="H47" s="32" t="inlineStr">
        <is>
          <t>러그 3 + 표시 바퀴 4 (+여분 3)</t>
        </is>
      </c>
      <c r="I47" s="32" t="inlineStr">
        <is>
          <t>확정</t>
        </is>
      </c>
      <c r="J47" s="32" t="inlineStr">
        <is>
          <t>디바이스마트 ND 원형자석 6Ø x 3t, 최소 10개 (2026-10-20 확인) · 쿠팡 40개 봉(11,300) 대신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>
        <v>3993</v>
      </c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디바이스마트(Mouser 대행) TT Electronics P160KNP-1FD15B10K 3,993(VAT 포함, 2026-10-20 확인) · 데이터시트: F형 축 Ø6 평면 4.5, L 15, 부싱 M7×0.75, 몸통 Ø16.5 · 가운데 딸깍(center detent) 있음 → 페달은 몸통 에폭시 때 딸깍 위치가 밟는 범위 밖이 되게 돌려 붙임 · 쿠팡은 전부 톱니(널링) 축이라 제외 · 반품 불가, 준비 1주 · C252 와 같이 주문 → 66,000 넘어 배송비 0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하프 사이즈 89×52 (브레드보드형, 양면)</t>
        </is>
      </c>
      <c r="D51" s="31" t="n">
        <v>1</v>
      </c>
      <c r="E51" s="32" t="inlineStr">
        <is>
          <t>장</t>
        </is>
      </c>
      <c r="F51" s="33" t="n">
        <v>2420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디바이스마트 일렉트로쿠키 브레드보드형 만능기판 Half (2026-10-20 확인) · 쿠팡 20장 묶음(15,000) 대신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>
        <v>3100</v>
      </c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12v 4핀 릴레이 + 배선된 소켓 세트 40A (2026-10-20 확인) · 배송비 3,000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>
        <v>8900</v>
      </c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12AWG 인라인 ATC/ATO 홀더 4개 + 퓨즈 12개(15A 2개 포함) (2026-10-20 확인) · 여분 퓨즈 포함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>
        <v>7370</v>
      </c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디바이스마트 KGAUTO KGE-C4R1R 25Φ 푸쉬록턴 리셋 1a1b (2026-10-20 확인) · 준비 2주 · 25mm 판 구멍 필요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1채널, 로우 트리거</t>
        </is>
      </c>
      <c r="D55" s="31" t="n">
        <v>1</v>
      </c>
      <c r="E55" s="32" t="inlineStr">
        <is>
          <t>개</t>
        </is>
      </c>
      <c r="F55" s="33" t="n">
        <v>990</v>
      </c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디바이스마트 SZH-RLBG-007 Low-Trigger (2026-10-20 확인) · 펌웨어 RELAY_ACTIVE_LOW 기본값(로우)과 맞음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10</v>
      </c>
      <c r="E56" s="32" t="inlineStr">
        <is>
          <t>개</t>
        </is>
      </c>
      <c r="F56" s="33" t="n">
        <v>22</v>
      </c>
      <c r="G56" s="34">
        <f>D56*F56</f>
        <v/>
      </c>
      <c r="H56" s="32" t="inlineStr">
        <is>
          <t>주 릴레이 코일 역기전력 흡수 1 + 여분</t>
        </is>
      </c>
      <c r="I56" s="32" t="inlineStr">
        <is>
          <t>확정</t>
        </is>
      </c>
      <c r="J56" s="32" t="inlineStr">
        <is>
          <t>디바이스마트 1N4007, 최소 10개 (2026-10-20 확인) · 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1.5mm²(16AWG) 이상, 적·흑 각 2m</t>
        </is>
      </c>
      <c r="D57" s="31" t="n">
        <v>2</v>
      </c>
      <c r="E57" s="32" t="inlineStr">
        <is>
          <t>세트(1m)</t>
        </is>
      </c>
      <c r="F57" s="33" t="n">
        <v>1310</v>
      </c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KDsafe 실리콘전선 16AWG 빨검 세트 1M × 2 (2026-10-20 확인) · 배송비 3,000 · 키트 배터리 선 16AWG 확인(2026-10-20) → 퓨즈 15A 유지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(22~16AWG)</t>
        </is>
      </c>
      <c r="D58" s="31" t="n">
        <v>3</v>
      </c>
      <c r="E58" s="32" t="inlineStr">
        <is>
          <t>봉(2개)</t>
        </is>
      </c>
      <c r="F58" s="33" t="n">
        <v>310</v>
      </c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6.3mm 절연 PG REC 250 빨강 2개 × 3 (2026-10-20 확인) · 배송비 3,000 · 절연형이라 수축 튜브 불필요 · 배터리 단자 = 6.3mm 평형 탭(사진 확인) · 릴레이 소켓은 배선 완성품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30개 + 4.7kΩ 30개 (1/4W, 최소 수량)</t>
        </is>
      </c>
      <c r="D59" s="31" t="n">
        <v>1</v>
      </c>
      <c r="E59" s="32" t="inlineStr">
        <is>
          <t>세트</t>
        </is>
      </c>
      <c r="F59" s="33" t="n">
        <v>1518</v>
      </c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디바이스마트 제일전자 103J·472J 각 30개 × 25.3원 (2026-10-20 확인) · 1개씩 사용 · 풀었을 때 페달을 떼야 재시동 (펌웨어)</t>
        </is>
      </c>
    </row>
    <row r="60" ht="29.25" customHeight="1" s="16">
      <c r="A60" s="31" t="n">
        <v>56</v>
      </c>
      <c r="B60" s="32" t="inlineStr">
        <is>
          <t>배송비</t>
        </is>
      </c>
      <c r="C60" s="31" t="inlineStr">
        <is>
          <t>새 판매처 포함</t>
        </is>
      </c>
      <c r="D60" s="31" t="n">
        <v>1</v>
      </c>
      <c r="E60" s="32" t="inlineStr">
        <is>
          <t>식</t>
        </is>
      </c>
      <c r="F60" s="33" t="n">
        <v>53200</v>
      </c>
      <c r="G60" s="34">
        <f>D60*F60</f>
        <v/>
      </c>
      <c r="H60" s="32" t="n"/>
      <c r="I60" s="32" t="inlineStr">
        <is>
          <t>확정</t>
        </is>
      </c>
      <c r="J60" s="32" t="inlineStr">
        <is>
          <t>v3 22,900 + 새 판매처 30,300 (2026-10-20 확인): KYK 3,000 · 평행핀 5x40 4,000 · 리우툴 3,000 · 무두볼트 3,000 · 목재나사 2,800 · 코르크 2,500 · 릴레이 3,000 · 전선 3,000 · 압착단자 3,000 · 소망트레이딩 3,000 / 디바이스마트(66,000 이상)·나머지 무료배송</t>
        </is>
      </c>
    </row>
    <row r="61">
      <c r="B61" s="38" t="inlineStr">
        <is>
          <t>합계 (확정 항목, 단가 입력된 것만)</t>
        </is>
      </c>
      <c r="G61" s="39">
        <f>SUMIFS(G5:G60,I5:I60,"확정")</f>
        <v/>
      </c>
    </row>
    <row r="62">
      <c r="B62" s="38" t="inlineStr">
        <is>
          <t>합계 (선택 포함)</t>
        </is>
      </c>
      <c r="G62" s="39">
        <f>SUM(G5:G60)</f>
        <v/>
      </c>
    </row>
    <row r="63">
      <c r="B63" s="38" t="inlineStr">
        <is>
          <t>단가 미확인 항목 수</t>
        </is>
      </c>
      <c r="G63" s="40">
        <f>COUNTBLANK(F5:F60)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style="16" min="1" max="1"/>
    <col width="34" customWidth="1" style="16" min="2" max="2"/>
    <col width="110" customWidth="1" style="16" min="3" max="3"/>
  </cols>
  <sheetData>
    <row r="1">
      <c r="A1" s="41" t="inlineStr">
        <is>
          <t>판매처</t>
        </is>
      </c>
      <c r="B1" s="41" t="inlineStr">
        <is>
          <t>품목</t>
        </is>
      </c>
      <c r="C1" s="41" t="inlineStr">
        <is>
          <t>방법 · 확인할 것</t>
        </is>
      </c>
    </row>
    <row r="2">
      <c r="A2" s="42" t="inlineStr">
        <is>
          <t>디바이스마트</t>
        </is>
      </c>
      <c r="B2" s="42" t="inlineStr">
        <is>
          <t>압축 스프링 C252 9개, C147 3개, 가변저항 P160KNP-1FD15B10K 3개, 5V 릴레이 모듈, 1N4007, 저항, 비상정지 스위치, 만능기판, 자석 10개</t>
        </is>
      </c>
      <c r="C2" s="42" t="inlineStr">
        <is>
          <t>한 장바구니로 주문 (합계 66,000 이상 → 배송비 0). C252 = 1개 8,360원(VAT 포함), 수량 9 로 내려감 확인(2026-10-20), 반품·취소 불가, 준비 4~5일. C252: https://www.devicemart.co.kr/goods/view?no=15336269 / C147: https://www.devicemart.co.kr/goods/view?no=15336164 (외경 5, 자유장 10, P1 1.77N@6.47, P2 2.79N@4.41 인지 확인) / 가변저항: https://www.devicemart.co.kr/goods/view?no=16130996 (Mouser 대행, TT Electronics P160 F형 D축 Ø6·평면 4.5·L15·부싱 M7×0.75, 가운데 딸깍 있음, 반품 불가, 준비 1주. 쿠팡 B10K 는 전부 톱니 축이라 여기서)</t>
        </is>
      </c>
    </row>
    <row r="3">
      <c r="A3" s="42" t="inlineStr">
        <is>
          <t>소망트레이딩 (smball.co.kr)</t>
        </is>
      </c>
      <c r="B3" s="42" t="inlineStr">
        <is>
          <t>연마봉 Ø12 435·358(양면 D컷)·160·55, Ø6 371 ×3</t>
        </is>
      </c>
      <c r="C3" s="42" t="inlineStr">
        <is>
          <t>D컷 가공을 맡김. 게시판·카카오톡에 도면(v4/도면_D컷축.pdf 또는 .png)을 첨부하고 아래 문구 그대로 견적 요청: "열처리 연마봉 Ø12 를 아래처럼 절단·가공해 주시고 가격을 알려 주세요. 1) 435mm 1개, 2) 358mm 1개: 두 개 모두 전체 길이 양면 D컷 (마주 보는 두 면, 면 사이 10.0mm, 한쪽 깊이 1.0mm) 3) 160mm 1개, 4) 55mm 1개: 가공 없음 5) Ø6 연마봉 371mm 3개: 가공 없음. 길이 오차 ±0.5mm 이내 가능한지도 알려 주세요." 열처리봉이 가공 어렵다고 하면 S45C 비열처리 연마봉으로 해도 됨 (축 안전율 14 이상이라 강도 문제 없음). 견적이 오면 구매신청 "축 양면 D컷 가공" 줄에 금액을 넣음</t>
        </is>
      </c>
    </row>
    <row r="4">
      <c r="A4" s="42" t="inlineStr">
        <is>
          <t>쿠팡</t>
        </is>
      </c>
      <c r="B4" s="42" t="inlineStr">
        <is>
          <t>위 두 곳을 뺀 나머지 전부</t>
        </is>
      </c>
      <c r="C4" s="42" t="inlineStr">
        <is>
          <t>구매목록 시트의 품명을 누르면 고른 쿠팡 상품 (2026-10-20 확인). 옵션이 있는 상품은 비고 칸의 옵션 이름으로 고를 것. 볼트·너트·와셔(M3 무두볼트 빼고)는 리우툴(판매자 우진카본볼트) 한 판매자 → 한 장바구니. 고른 상품은 아래 7가지를 지킴: ① 가변저항 = 축 Ø6 반달(D컷) 15mm + 부싱 M7 (톱니 축·20mm 안 됨) ② 볼트 = 렌치볼트(육각 홈, 머리 Ø5.5) — 냄비머리 안 됨 ③ 샤프트 칼라 = 안지름 6, 바깥지름 12 이하 ④ 6003ZZ = 17×35×10 ⑤ 평행핀 = Ø5 정확히 (25·40 길이) ⑥ PLA = 2.85mm ⑦ 목재나사 = 4×16 (4×20 이상 안 됨)</t>
        </is>
      </c>
    </row>
    <row r="5">
      <c r="A5" s="42" t="inlineStr">
        <is>
          <t>공구 (보유, 목록에서 뺌)</t>
        </is>
      </c>
      <c r="B5" s="42" t="inlineStr">
        <is>
          <t>육각 렌치 2.5·3·4·5, 드릴 + Ø3.4 날, 납땜 인두·실납, 걸이 저울 0~5kg(10g 단위, 시험 3 클러치 토크용), 디지털 캘리퍼스(0.01mm, 학교 것)</t>
        </is>
      </c>
      <c r="C5" s="42" t="inlineStr">
        <is>
          <t>렌치볼트·무두볼트 / 아크릴 나사 구멍 14 (드릴이 없으면 아크릴 재단 업체에 구멍까지 주문) / 만능기판</t>
        </is>
      </c>
    </row>
    <row r="6">
      <c r="A6" s="42" t="inlineStr">
        <is>
          <t>PLA (따로 준비)</t>
        </is>
      </c>
      <c r="B6" s="42" t="inlineStr">
        <is>
          <t>2.85mm PLA 약 4.7kg (보유 750g 빼면 1kg 롤 4개)</t>
        </is>
      </c>
      <c r="C6" s="42" t="inlineStr">
        <is>
          <t>구매 신청에서 뺌. 출력 예상 4.05kg + 실패 여유 15% (PrusaSlicer 추정). Ultimaker 2+ 용 2.85mm. 쿠팡 해외 1kg 30,600원(11/5 도착) 또는 국내 UltiMaker 750g 75,900원</t>
        </is>
      </c>
    </row>
    <row r="7">
      <c r="A7" s="42" t="inlineStr">
        <is>
          <t>도착 후</t>
        </is>
      </c>
      <c r="B7" s="42" t="inlineStr">
        <is>
          <t>—</t>
        </is>
      </c>
      <c r="C7" s="42" t="inlineStr">
        <is>
          <t>① 가변저항 축 지름·평면·길이 실측 → 80·82 페달 출력 (다르면 수정) ② 핀·6003 도착 → 02 시험편 출력 ③ 00 쿠폰 구멍마다 안 들어감/꽉/헐거움 → 공차 확정 후 전체 출력 ④ C252 안지름 실측 (12.5 이상)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2026-09-24T15:16:41Z</dcterms:created>
  <dcterms:modified xsi:type="dcterms:W3CDTF">2026-10-20T13:51:52Z</dcterms:modified>
  <cp:revision>0</cp:revision>
</cp:coreProperties>
</file>