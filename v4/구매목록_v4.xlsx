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구매목록_v3" sheetId="2" state="visible" r:id="rId2"/>
    <sheet xmlns:r="http://schemas.openxmlformats.org/officeDocument/2006/relationships" name="구매목록_v2(9-25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미확인입니다(비고의 검색어로 확인).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단가 미확인 · 검색어 "6003ZZ"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 · 절단·양면 D컷 비용 미확인(전화 문의)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/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1m 에서 위 3개를 자르면 약 41mm 만 남아 따로 필요 · 단가 미확인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· 단가 미확인 (v3 참고: 200mm 2,600원)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28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검색어 "평행핀 5x25"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검색어 "평행핀 5x40"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m</t>
        </is>
      </c>
      <c r="F12" s="33" t="n"/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쇼어 70A 내외 · 검색어 "NBR 호스 5mm 10mm"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검색어 "M16 큰와셔 50mm" · 두께 3 확인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검색어 "코르크 시트 2mm"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선경 미표기 → 스프링 상수·허용 하중으로 역산 선경 약 1.4~1.6, 안지름 약 14.8~15.2 (필요 12.5 이상, 미검증)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6, 바깥지름 12, 폭 8, 멈춤나사형 (표준 규격)</t>
        </is>
      </c>
      <c r="D18" s="31" t="n">
        <v>6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예: RS PRO 8236939 (6/12/8, 5개 묶음) · 바깥지름 12 넘으면 카트리지 구멍(13)에 안 들어감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모든 볼트는 렌치볼트(머리 Ø5.5): 부품의 머리 자리가 이 크기 · 단가 미확인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단가 미확인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/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단가 미확인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/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/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단가 미확인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7)</t>
        </is>
      </c>
      <c r="D27" s="31" t="n">
        <v>15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단가 미확인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/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단가 미확인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/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단가 미확인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/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단가 미확인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/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단가 미확인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/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/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단가 미확인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/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선택</t>
        </is>
      </c>
      <c r="J34" s="32" t="inlineStr">
        <is>
          <t>시험 3 이 합격이면 안 씀 · 다시 주문하지 않으려면 같이 구매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/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단가 미확인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/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단가 미확인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/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단가 미확인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/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단가 미확인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</t>
        </is>
      </c>
      <c r="D39" s="31" t="n">
        <v>24</v>
      </c>
      <c r="E39" s="32" t="inlineStr">
        <is>
          <t>개</t>
        </is>
      </c>
      <c r="F39" s="33" t="n"/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MDF 12T 에 10~11 박힘 · 4×20 이상은 밑으로 나옴 · 단가 미확인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/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단가 미확인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/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/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아우터가 끝판 B 구멍 Ø6·페달 받침 Ø5.6 에 들어가야 함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/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축이 톱니(널링)형이거나 20mm 면 페달에 안 맞음 · 핸들에 센서가 이미 있으면 2개 · 도착 후 실측해서 페달 출력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/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검색어 "12V 40A 릴레이 소켓"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/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여분 퓨즈 2개 권장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/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단가 미확인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/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2</v>
      </c>
      <c r="E56" s="32" t="inlineStr">
        <is>
          <t>개</t>
        </is>
      </c>
      <c r="F56" s="33" t="n"/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 이상, 적·흑 각 2m</t>
        </is>
      </c>
      <c r="D57" s="31" t="n">
        <v>1</v>
      </c>
      <c r="E57" s="32" t="inlineStr">
        <is>
          <t>세트</t>
        </is>
      </c>
      <c r="F57" s="33" t="n"/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퓨즈 15A 기준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+ 수축 튜브</t>
        </is>
      </c>
      <c r="D58" s="31" t="n">
        <v>1</v>
      </c>
      <c r="E58" s="32" t="inlineStr">
        <is>
          <t>세트</t>
        </is>
      </c>
      <c r="F58" s="33" t="n"/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배터리 단자 = 6.3mm 평형 탭(사진 확인) · 홀더·소켓에 단자 포함이면 생략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/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/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단가 미확인</t>
        </is>
      </c>
    </row>
    <row r="61" ht="29.25" customHeight="1" s="16">
      <c r="A61" s="31" t="n">
        <v>57</v>
      </c>
      <c r="B61" s="32" t="inlineStr">
        <is>
          <t>육각 렌치 세트</t>
        </is>
      </c>
      <c r="C61" s="31" t="inlineStr">
        <is>
          <t>2.5·3·4·5mm 포함</t>
        </is>
      </c>
      <c r="D61" s="31" t="n">
        <v>1</v>
      </c>
      <c r="E61" s="32" t="inlineStr">
        <is>
          <t>세트</t>
        </is>
      </c>
      <c r="F61" s="33" t="n"/>
      <c r="G61" s="34">
        <f>D61*F61</f>
        <v/>
      </c>
      <c r="H61" s="32" t="inlineStr">
        <is>
          <t>렌치볼트 M3~M6, 무두볼트</t>
        </is>
      </c>
      <c r="I61" s="32" t="inlineStr">
        <is>
          <t>선택</t>
        </is>
      </c>
      <c r="J61" s="32" t="inlineStr">
        <is>
          <t>보유하면 생략</t>
        </is>
      </c>
    </row>
    <row r="62" ht="29.25" customHeight="1" s="16">
      <c r="A62" s="31" t="n">
        <v>58</v>
      </c>
      <c r="B62" s="32" t="inlineStr">
        <is>
          <t>드릴 날</t>
        </is>
      </c>
      <c r="C62" s="31" t="inlineStr">
        <is>
          <t>Ø3.4 (전동 드릴용)</t>
        </is>
      </c>
      <c r="D62" s="31" t="n">
        <v>1</v>
      </c>
      <c r="E62" s="32" t="inlineStr">
        <is>
          <t>개</t>
        </is>
      </c>
      <c r="F62" s="33" t="n"/>
      <c r="G62" s="34">
        <f>D62*F62</f>
        <v/>
      </c>
      <c r="H62" s="32" t="inlineStr">
        <is>
          <t>아크릴 나사 구멍 14 (설계서 5장 위치)</t>
        </is>
      </c>
      <c r="I62" s="32" t="inlineStr">
        <is>
          <t>선택</t>
        </is>
      </c>
      <c r="J62" s="32" t="inlineStr">
        <is>
          <t>드릴이 없으면 재단 업체에 구멍까지 주문</t>
        </is>
      </c>
    </row>
    <row r="63" ht="29.25" customHeight="1" s="16">
      <c r="A63" s="31" t="n">
        <v>59</v>
      </c>
      <c r="B63" s="32" t="inlineStr">
        <is>
          <t>납땜 인두 + 실납</t>
        </is>
      </c>
      <c r="C63" s="31" t="inlineStr"/>
      <c r="D63" s="31" t="n">
        <v>1</v>
      </c>
      <c r="E63" s="32" t="inlineStr">
        <is>
          <t>세트</t>
        </is>
      </c>
      <c r="F63" s="33" t="n"/>
      <c r="G63" s="34">
        <f>D63*F63</f>
        <v/>
      </c>
      <c r="H63" s="32" t="inlineStr">
        <is>
          <t>만능기판 (분압 저항·다이오드·배선)</t>
        </is>
      </c>
      <c r="I63" s="32" t="inlineStr">
        <is>
          <t>선택</t>
        </is>
      </c>
      <c r="J63" s="32" t="inlineStr">
        <is>
          <t>보유하면 생략</t>
        </is>
      </c>
    </row>
    <row r="64" ht="29.25" customHeight="1" s="16">
      <c r="A64" s="31" t="n">
        <v>60</v>
      </c>
      <c r="B64" s="32" t="inlineStr">
        <is>
          <t>걸이 저울</t>
        </is>
      </c>
      <c r="C64" s="31" t="inlineStr">
        <is>
          <t>0~5kg, 10g 단위</t>
        </is>
      </c>
      <c r="D64" s="31" t="n">
        <v>1</v>
      </c>
      <c r="E64" s="32" t="inlineStr">
        <is>
          <t>개</t>
        </is>
      </c>
      <c r="F64" s="33" t="n"/>
      <c r="G64" s="34">
        <f>D64*F64</f>
        <v/>
      </c>
      <c r="H64" s="32" t="inlineStr">
        <is>
          <t>클러치 미끄럼 토크·끌림 토크 측정</t>
        </is>
      </c>
      <c r="I64" s="32" t="inlineStr">
        <is>
          <t>선택</t>
        </is>
      </c>
      <c r="J64" s="32" t="inlineStr">
        <is>
          <t>보유하면 생략</t>
        </is>
      </c>
    </row>
    <row r="65" ht="29.25" customHeight="1" s="16">
      <c r="A65" s="31" t="n">
        <v>61</v>
      </c>
      <c r="B65" s="32" t="inlineStr">
        <is>
          <t>디지털 캘리퍼스</t>
        </is>
      </c>
      <c r="C65" s="31" t="inlineStr">
        <is>
          <t>0.01mm 표시, 150mm</t>
        </is>
      </c>
      <c r="D65" s="31" t="n">
        <v>1</v>
      </c>
      <c r="E65" s="32" t="inlineStr">
        <is>
          <t>개</t>
        </is>
      </c>
      <c r="F65" s="33" t="n"/>
      <c r="G65" s="34">
        <f>D65*F65</f>
        <v/>
      </c>
      <c r="H65" s="32" t="inlineStr">
        <is>
          <t>쿠폰·핀 구멍·축 지름 확인</t>
        </is>
      </c>
      <c r="I65" s="32" t="inlineStr">
        <is>
          <t>확정</t>
        </is>
      </c>
      <c r="J65" s="32" t="inlineStr">
        <is>
          <t>보유하면 생략</t>
        </is>
      </c>
    </row>
    <row r="66" ht="29.25" customHeight="1" s="16">
      <c r="A66" s="31" t="n">
        <v>62</v>
      </c>
      <c r="B66" s="32" t="inlineStr">
        <is>
          <t>배송비</t>
        </is>
      </c>
      <c r="C66" s="31" t="inlineStr">
        <is>
          <t>새 판매처 포함</t>
        </is>
      </c>
      <c r="D66" s="31" t="n">
        <v>1</v>
      </c>
      <c r="E66" s="32" t="inlineStr">
        <is>
          <t>식</t>
        </is>
      </c>
      <c r="F66" s="33" t="n"/>
      <c r="G66" s="34">
        <f>D66*F66</f>
        <v/>
      </c>
      <c r="H66" s="32" t="n"/>
      <c r="I66" s="32" t="inlineStr">
        <is>
          <t>확정</t>
        </is>
      </c>
      <c r="J66" s="32" t="inlineStr">
        <is>
          <t>v3 는 22,900원 · 새 항목 판매처에 따라 달라짐 (미확인)</t>
        </is>
      </c>
    </row>
    <row r="67">
      <c r="B67" s="38" t="inlineStr">
        <is>
          <t>합계 (확정 항목, 단가 입력된 것만)</t>
        </is>
      </c>
      <c r="G67" s="39">
        <f>SUMIFS(G5:G66,I5:I66,"확정")</f>
        <v/>
      </c>
    </row>
    <row r="68">
      <c r="B68" s="38" t="inlineStr">
        <is>
          <t>합계 (선택 포함)</t>
        </is>
      </c>
      <c r="G68" s="39">
        <f>SUM(G5:G66)</f>
        <v/>
      </c>
    </row>
    <row r="69">
      <c r="B69" s="38" t="inlineStr">
        <is>
          <t>단가 미확인 항목 수</t>
        </is>
      </c>
      <c r="G69" s="40">
        <f>COUNTBLANK(F5:F66)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2026-10-20T11:26:31Z</dcterms:modified>
  <cp:revision>0</cp:revision>
</cp:coreProperties>
</file>