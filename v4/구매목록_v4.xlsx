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구매목록_v4" sheetId="1" state="visible" r:id="rId3"/>
    <sheet name="구매목록_v3" sheetId="2" state="visible" r:id="rId4"/>
    <sheet name="구매목록_v2(9-25)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<sst xmlns="http://schemas.openxmlformats.org/spreadsheetml/2006/main" count="696" uniqueCount="369">
  <si>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 </t>
    </r>
    <r>
      <rPr>
        <b val="true"/>
        <sz val="14"/>
        <rFont val="Arial"/>
        <family val="0"/>
        <charset val="1"/>
      </rPr>
      <t xml:space="preserve">(v4.1)</t>
    </r>
  </si>
  <si>
    <t xml:space="preserve">작성일 2026-10-19 · 설계서 v4.1 기준 · 노란 칸(단가)만 입력하면 금액·합계가 계산됩니다. 단가는 v3 표(2026-10-19 확인)에서 가져온 것만 넣음, 비어 있는 칸은 미확인입니다(비고의 검색어로 확인).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</si>
  <si>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</si>
  <si>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</si>
  <si>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</si>
  <si>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</si>
  <si>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</si>
  <si>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단가(원)</t>
  </si>
  <si>
    <t xml:space="preserve">금액(원)</t>
  </si>
  <si>
    <t xml:space="preserve">용도</t>
  </si>
  <si>
    <t xml:space="preserve">상태</t>
  </si>
  <si>
    <t xml:space="preserve">비고</t>
  </si>
  <si>
    <t xml:space="preserve">6001ZZ 볼 베어링 (10개 묶음)</t>
  </si>
  <si>
    <t xml:space="preserve">12×28×8</t>
  </si>
  <si>
    <t xml:space="preserve">묶음</t>
  </si>
  <si>
    <t xml:space="preserve">끝판 4 + 출력 기어 12 + 아이들러 2 + 클러치 파일럿 1 = 19개</t>
  </si>
  <si>
    <t xml:space="preserve">확정</t>
  </si>
  <si>
    <t xml:space="preserve">v3 단가 · 쿠팡 /vp/products/8630678241</t>
  </si>
  <si>
    <t xml:space="preserve">6003ZZ 볼 베어링</t>
  </si>
  <si>
    <t xml:space="preserve">17×35×10</t>
  </si>
  <si>
    <t xml:space="preserve">개</t>
  </si>
  <si>
    <t xml:space="preserve">클러치 릴리스 베어링</t>
  </si>
  <si>
    <t xml:space="preserve">단가 미확인 · 검색어 "6003ZZ" · 02 시험편으로 압입 자리 확인</t>
  </si>
  <si>
    <t xml:space="preserve">연마봉(강철 축)</t>
  </si>
  <si>
    <r>
      <rPr>
        <sz val="10"/>
        <rFont val="Arial"/>
        <family val="0"/>
        <charset val="1"/>
      </rPr>
      <t xml:space="preserve">Ø12 1m → 435·358(</t>
    </r>
    <r>
      <rPr>
        <sz val="10"/>
        <rFont val="Noto Sans CJK SC"/>
        <family val="2"/>
      </rPr>
      <t xml:space="preserve">둘 다 전체 양면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컷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마주 보는 두 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면 사이 </t>
    </r>
    <r>
      <rPr>
        <sz val="10"/>
        <rFont val="Arial"/>
        <family val="0"/>
        <charset val="1"/>
      </rPr>
      <t xml:space="preserve">10.0) + 160</t>
    </r>
  </si>
  <si>
    <t xml:space="preserve">입력축 435, 출력축 358, 레버봉 160</t>
  </si>
  <si>
    <t xml:space="preserve">v3 단가 · 소망트레이딩 · 절단·양면 D컷 비용 미확인(전화 문의)</t>
  </si>
  <si>
    <t xml:space="preserve">연마봉(강철 축) 짧은 것</t>
  </si>
  <si>
    <r>
      <rPr>
        <sz val="10"/>
        <rFont val="Arial"/>
        <family val="0"/>
        <charset val="1"/>
      </rPr>
      <t xml:space="preserve">Ø12, 55mm </t>
    </r>
    <r>
      <rPr>
        <sz val="10"/>
        <rFont val="Noto Sans CJK SC"/>
        <family val="2"/>
      </rPr>
      <t xml:space="preserve">이상 </t>
    </r>
    <r>
      <rPr>
        <sz val="10"/>
        <rFont val="Arial"/>
        <family val="0"/>
        <charset val="1"/>
      </rPr>
      <t xml:space="preserve">(55</t>
    </r>
    <r>
      <rPr>
        <sz val="10"/>
        <rFont val="Noto Sans CJK SC"/>
        <family val="2"/>
      </rPr>
      <t xml:space="preserve">로 절단</t>
    </r>
    <r>
      <rPr>
        <sz val="10"/>
        <rFont val="Arial"/>
        <family val="0"/>
        <charset val="1"/>
      </rPr>
      <t xml:space="preserve">)</t>
    </r>
  </si>
  <si>
    <t xml:space="preserve">후진 아이들러 축</t>
  </si>
  <si>
    <t xml:space="preserve">1m 에서 위 3개를 자르면 약 41mm 만 남아 따로 필요 · 단가 미확인</t>
  </si>
  <si>
    <t xml:space="preserve">연마봉(변속 레일)</t>
  </si>
  <si>
    <t xml:space="preserve">Ø6, 371mm</t>
  </si>
  <si>
    <t xml:space="preserve">시프트 레일</t>
  </si>
  <si>
    <t xml:space="preserve">소망트레이딩 · 단가 미확인 (v3 참고: 200mm 2,600원)</t>
  </si>
  <si>
    <t xml:space="preserve">강철 평행핀</t>
  </si>
  <si>
    <t xml:space="preserve">Ø5×25</t>
  </si>
  <si>
    <t xml:space="preserve">출력 기어 6개 × 4 = 24 (+여유 4): 도그</t>
  </si>
  <si>
    <t xml:space="preserve">검색어 "평행핀 5x25" · 02 시험편(구멍 4.8/4.9/5.0)으로 압입 구멍 확정</t>
  </si>
  <si>
    <t xml:space="preserve">Ø5×40</t>
  </si>
  <si>
    <t xml:space="preserve">스프로킷 커플링 핀</t>
  </si>
  <si>
    <t xml:space="preserve">검색어 "평행핀 5x40"</t>
  </si>
  <si>
    <t xml:space="preserve">NBR 고무 호스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</si>
  <si>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5 ×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10</t>
    </r>
  </si>
  <si>
    <t xml:space="preserve">m</t>
  </si>
  <si>
    <t xml:space="preserve">핀 쿠션 (6mm × 24개 = 144mm)</t>
  </si>
  <si>
    <t xml:space="preserve">쇼어 70A 내외 · 검색어 "NBR 호스 5mm 10mm"</t>
  </si>
  <si>
    <t xml:space="preserve">큰 와셔 DIN9021 M16 (강철)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</si>
  <si>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17 ×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50 × </t>
    </r>
    <r>
      <rPr>
        <sz val="10"/>
        <rFont val="Noto Sans CJK SC"/>
        <family val="2"/>
      </rPr>
      <t xml:space="preserve">두께 </t>
    </r>
    <r>
      <rPr>
        <sz val="10"/>
        <rFont val="Arial"/>
        <family val="0"/>
        <charset val="1"/>
      </rPr>
      <t xml:space="preserve">3</t>
    </r>
  </si>
  <si>
    <t xml:space="preserve">클러치 원판 1 + 여분 1</t>
  </si>
  <si>
    <t xml:space="preserve">검색어 "M16 큰와셔 50mm" · 두께 3 확인</t>
  </si>
  <si>
    <t xml:space="preserve">코르크 시트</t>
  </si>
  <si>
    <r>
      <rPr>
        <sz val="10"/>
        <rFont val="Noto Sans CJK SC"/>
        <family val="2"/>
      </rPr>
      <t xml:space="preserve">두께 </t>
    </r>
    <r>
      <rPr>
        <sz val="10"/>
        <rFont val="Arial"/>
        <family val="0"/>
        <charset val="1"/>
      </rPr>
      <t xml:space="preserve">2mm, A4</t>
    </r>
  </si>
  <si>
    <t xml:space="preserve">장</t>
  </si>
  <si>
    <t xml:space="preserve">클러치 마찰재 링 2개 (바깥 Ø50, 안 Ø26)</t>
  </si>
  <si>
    <t xml:space="preserve">검색어 "코르크 시트 2mm"</t>
  </si>
  <si>
    <t xml:space="preserve">압축 스프링 C252</t>
  </si>
  <si>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18, </t>
    </r>
    <r>
      <rPr>
        <sz val="10"/>
        <rFont val="Noto Sans CJK SC"/>
        <family val="2"/>
      </rPr>
      <t xml:space="preserve">자유장 </t>
    </r>
    <r>
      <rPr>
        <sz val="10"/>
        <rFont val="Arial"/>
        <family val="0"/>
        <charset val="1"/>
      </rPr>
      <t xml:space="preserve">32</t>
    </r>
  </si>
  <si>
    <t xml:space="preserve">포크 카트리지 3 + 클러치 3 + 레버 후진 잠금 1</t>
  </si>
  <si>
    <t xml:space="preserve">디바이스마트 no=15336269 · 선경 미표기 → 스프링 상수·허용 하중으로 역산 선경 약 1.4~1.6, 안지름 약 14.8~15.2 (필요 12.5 이상, 미검증)</t>
  </si>
  <si>
    <t xml:space="preserve">압축 스프링 C147</t>
  </si>
  <si>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5,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10</t>
    </r>
  </si>
  <si>
    <t xml:space="preserve">러그 디텐트</t>
  </si>
  <si>
    <t xml:space="preserve">디바이스마트 no=15336164</t>
  </si>
  <si>
    <t xml:space="preserve">강구</t>
  </si>
  <si>
    <r>
      <rPr>
        <sz val="10"/>
        <rFont val="Arial"/>
        <family val="0"/>
        <charset val="1"/>
      </rPr>
      <t xml:space="preserve">Ø6mm 50</t>
    </r>
    <r>
      <rPr>
        <sz val="10"/>
        <rFont val="Noto Sans CJK SC"/>
        <family val="2"/>
      </rPr>
      <t xml:space="preserve">개</t>
    </r>
  </si>
  <si>
    <t xml:space="preserve">봉</t>
  </si>
  <si>
    <t xml:space="preserve">러그 디텐트 3</t>
  </si>
  <si>
    <t xml:space="preserve">v3 단가 · 쿠팡 /9638493021</t>
  </si>
  <si>
    <t xml:space="preserve">샤프트 칼라 (Ø6 축용)</t>
  </si>
  <si>
    <r>
      <rPr>
        <sz val="10"/>
        <rFont val="Noto Sans CJK SC"/>
        <family val="2"/>
      </rPr>
      <t xml:space="preserve">안지름 </t>
    </r>
    <r>
      <rPr>
        <sz val="10"/>
        <rFont val="Arial"/>
        <family val="0"/>
        <charset val="1"/>
      </rPr>
      <t xml:space="preserve">6, 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12, </t>
    </r>
    <r>
      <rPr>
        <sz val="10"/>
        <rFont val="Noto Sans CJK SC"/>
        <family val="2"/>
      </rPr>
      <t xml:space="preserve">폭 </t>
    </r>
    <r>
      <rPr>
        <sz val="10"/>
        <rFont val="Arial"/>
        <family val="0"/>
        <charset val="1"/>
      </rPr>
      <t xml:space="preserve">8, </t>
    </r>
    <r>
      <rPr>
        <sz val="10"/>
        <rFont val="Noto Sans CJK SC"/>
        <family val="2"/>
      </rPr>
      <t xml:space="preserve">멈춤나사형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표준 규격</t>
    </r>
    <r>
      <rPr>
        <sz val="10"/>
        <rFont val="Arial"/>
        <family val="0"/>
        <charset val="1"/>
      </rPr>
      <t xml:space="preserve">)</t>
    </r>
  </si>
  <si>
    <t xml:space="preserve">변속 레일 카트리지 양쪽</t>
  </si>
  <si>
    <t xml:space="preserve">예: RS PRO 8236939 (6/12/8, 5개 묶음) · 바깥지름 12 넘으면 카트리지 구멍(13)에 안 들어감</t>
  </si>
  <si>
    <t xml:space="preserve">볼트너트 세트</t>
  </si>
  <si>
    <r>
      <rPr>
        <sz val="10"/>
        <rFont val="Arial"/>
        <family val="0"/>
        <charset val="1"/>
      </rPr>
      <t xml:space="preserve">M3·M4·M5 </t>
    </r>
    <r>
      <rPr>
        <sz val="10"/>
        <rFont val="Noto Sans CJK SC"/>
        <family val="2"/>
      </rPr>
      <t xml:space="preserve">스텐 </t>
    </r>
    <r>
      <rPr>
        <sz val="10"/>
        <rFont val="Arial"/>
        <family val="0"/>
        <charset val="1"/>
      </rPr>
      <t xml:space="preserve">500pcs</t>
    </r>
  </si>
  <si>
    <t xml:space="preserve">세트</t>
  </si>
  <si>
    <t xml:space="preserve">일반 고정</t>
  </si>
  <si>
    <t xml:space="preserve">v3 단가 · 쿠팡 /2236695303 · 길이 구성 미확인 → 아래 길이별 항목과 비교 후 부족분만</t>
  </si>
  <si>
    <t xml:space="preserve">M3 볼트 + 너트</t>
  </si>
  <si>
    <t xml:space="preserve">M3×20</t>
  </si>
  <si>
    <t xml:space="preserve">슬리브 결합 (머리·너트는 육각 자리 안에 숨음)</t>
  </si>
  <si>
    <t xml:space="preserve">단가 미확인</t>
  </si>
  <si>
    <t xml:space="preserve">M3 볼트</t>
  </si>
  <si>
    <t xml:space="preserve">M3×30</t>
  </si>
  <si>
    <t xml:space="preserve">러그 (자가탭, 끝이 레일을 누름)</t>
  </si>
  <si>
    <t xml:space="preserve">M3×12</t>
  </si>
  <si>
    <t xml:space="preserve">칼라 7, 디텐트 3, 클러치 덮개 7, 축 끝 덮개 4, 바퀴 덮개 2, 아크릴 14</t>
  </si>
  <si>
    <t xml:space="preserve">모두 자가탭 · 아크릴에는 M3 와셔</t>
  </si>
  <si>
    <t xml:space="preserve">M3×16</t>
  </si>
  <si>
    <t xml:space="preserve">바퀴 덮개 아래 받침</t>
  </si>
  <si>
    <t xml:space="preserve">M3×50</t>
  </si>
  <si>
    <t xml:space="preserve">끝 채움판 → 끝판</t>
  </si>
  <si>
    <r>
      <rPr>
        <sz val="10"/>
        <rFont val="Arial"/>
        <family val="0"/>
        <charset val="1"/>
      </rPr>
      <t xml:space="preserve">M3×8 6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M3×10 1</t>
    </r>
    <r>
      <rPr>
        <sz val="10"/>
        <rFont val="Noto Sans CJK SC"/>
        <family val="2"/>
      </rPr>
      <t xml:space="preserve">개</t>
    </r>
  </si>
  <si>
    <t xml:space="preserve">포크 카트리지 뚜껑 6, 클러치 포크 속선 누름 1</t>
  </si>
  <si>
    <t xml:space="preserve">M3 무두볼트</t>
  </si>
  <si>
    <t xml:space="preserve">M3×8</t>
  </si>
  <si>
    <t xml:space="preserve">표시 바퀴 고정</t>
  </si>
  <si>
    <t xml:space="preserve">M3 평와셔</t>
  </si>
  <si>
    <r>
      <rPr>
        <sz val="10"/>
        <rFont val="Arial"/>
        <family val="0"/>
        <charset val="1"/>
      </rPr>
      <t xml:space="preserve">M3 (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내외</t>
    </r>
    <r>
      <rPr>
        <sz val="10"/>
        <rFont val="Arial"/>
        <family val="0"/>
        <charset val="1"/>
      </rPr>
      <t xml:space="preserve">)</t>
    </r>
  </si>
  <si>
    <t xml:space="preserve">아크릴 고정 나사 밑 (아크릴 균열 방지)</t>
  </si>
  <si>
    <t xml:space="preserve">볼트너트 세트에 있으면 생략</t>
  </si>
  <si>
    <t xml:space="preserve">M4 볼트 + 너트</t>
  </si>
  <si>
    <t xml:space="preserve">M4×30</t>
  </si>
  <si>
    <t xml:space="preserve">케이지 4, 피벗 8, 게이트 4, 받침 브래킷 4</t>
  </si>
  <si>
    <t xml:space="preserve">M4×16</t>
  </si>
  <si>
    <t xml:space="preserve">클러치 포크 브래킷 4, 페달 발판 4</t>
  </si>
  <si>
    <t xml:space="preserve">M4×60</t>
  </si>
  <si>
    <t xml:space="preserve">클러치 기둥</t>
  </si>
  <si>
    <t xml:space="preserve">M5 볼트 + 너트</t>
  </si>
  <si>
    <t xml:space="preserve">M5×10</t>
  </si>
  <si>
    <t xml:space="preserve">클러치 조절나사 (끝까지 조임 = 설정)</t>
  </si>
  <si>
    <t xml:space="preserve">M5×12 이상 금지 (미끄럼 토크가 1.05N·m 까지 올라가 기어 설계 하중 초과)</t>
  </si>
  <si>
    <t xml:space="preserve">M5×20</t>
  </si>
  <si>
    <t xml:space="preserve">클러치 릴리스 누름 볼트</t>
  </si>
  <si>
    <t xml:space="preserve">M5 볼트 + 나일론 너트</t>
  </si>
  <si>
    <t xml:space="preserve">M5×35</t>
  </si>
  <si>
    <t xml:space="preserve">클러치 포크 피벗</t>
  </si>
  <si>
    <t xml:space="preserve">M6 볼트·너트</t>
  </si>
  <si>
    <r>
      <rPr>
        <sz val="10"/>
        <rFont val="Arial"/>
        <family val="0"/>
        <charset val="1"/>
      </rPr>
      <t xml:space="preserve">M6×50 10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너트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개</t>
    </r>
  </si>
  <si>
    <t xml:space="preserve">페달 힌지 2, 모터 받침 2</t>
  </si>
  <si>
    <t xml:space="preserve">v3 단가 · 쿠팡 /9679379731</t>
  </si>
  <si>
    <t xml:space="preserve">목재 나사</t>
  </si>
  <si>
    <t xml:space="preserve">4×20</t>
  </si>
  <si>
    <t xml:space="preserve">받침 브래킷 8, 클러치 덮개 4, 모터 받침 4, 페달 받침 8</t>
  </si>
  <si>
    <t xml:space="preserve">에폭시 접착제</t>
  </si>
  <si>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액형</t>
    </r>
  </si>
  <si>
    <t xml:space="preserve">레버봉-핑거·손잡이, 아이들러 축, 클러치 와셔-허브, 고무 쿠션</t>
  </si>
  <si>
    <t xml:space="preserve">순간접착제</t>
  </si>
  <si>
    <t xml:space="preserve">일반</t>
  </si>
  <si>
    <t xml:space="preserve">덮개 스위치, 홀센서, 자석</t>
  </si>
  <si>
    <t xml:space="preserve">보유하면 생략</t>
  </si>
  <si>
    <t xml:space="preserve">자전거 브레이크 케이블 세트</t>
  </si>
  <si>
    <r>
      <rPr>
        <sz val="10"/>
        <rFont val="Noto Sans CJK SC"/>
        <family val="2"/>
      </rPr>
      <t xml:space="preserve">속선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아우터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바깥지름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내외</t>
    </r>
    <r>
      <rPr>
        <sz val="10"/>
        <rFont val="Arial"/>
        <family val="0"/>
        <charset val="1"/>
      </rPr>
      <t xml:space="preserve">)</t>
    </r>
  </si>
  <si>
    <t xml:space="preserve">클러치 페달 → 클러치 포크</t>
  </si>
  <si>
    <t xml:space="preserve">아우터가 끝판 B 구멍 Ø6 에 들어가야 함</t>
  </si>
  <si>
    <t xml:space="preserve">인장 스프링</t>
  </si>
  <si>
    <r>
      <rPr>
        <sz val="10"/>
        <rFont val="Noto Sans CJK SC"/>
        <family val="2"/>
      </rPr>
      <t xml:space="preserve">선경 </t>
    </r>
    <r>
      <rPr>
        <sz val="10"/>
        <rFont val="Arial"/>
        <family val="0"/>
        <charset val="1"/>
      </rPr>
      <t xml:space="preserve">1.0 </t>
    </r>
    <r>
      <rPr>
        <sz val="10"/>
        <rFont val="Noto Sans CJK SC"/>
        <family val="2"/>
      </rPr>
      <t xml:space="preserve">외경 </t>
    </r>
    <r>
      <rPr>
        <sz val="10"/>
        <rFont val="Arial"/>
        <family val="0"/>
        <charset val="1"/>
      </rPr>
      <t xml:space="preserve">7, 1m</t>
    </r>
  </si>
  <si>
    <t xml:space="preserve">페달 복귀 (잘라 고리 만듦)</t>
  </si>
  <si>
    <t xml:space="preserve">v3 단가 · 쿠팡 /7939346368</t>
  </si>
  <si>
    <t xml:space="preserve">MDF 판</t>
  </si>
  <si>
    <r>
      <rPr>
        <sz val="10"/>
        <rFont val="Arial"/>
        <family val="0"/>
        <charset val="1"/>
      </rPr>
      <t xml:space="preserve">12T 300×1200 </t>
    </r>
    <r>
      <rPr>
        <sz val="10"/>
        <rFont val="Noto Sans CJK SC"/>
        <family val="2"/>
      </rPr>
      <t xml:space="preserve">재단</t>
    </r>
  </si>
  <si>
    <t xml:space="preserve">바닥판 750×300 (모터·클러치 덮개 포함)</t>
  </si>
  <si>
    <t xml:space="preserve">v3 단가 · 쿠팡 /71452005</t>
  </si>
  <si>
    <t xml:space="preserve">투명 아크릴</t>
  </si>
  <si>
    <t xml:space="preserve">A3 3T</t>
  </si>
  <si>
    <t xml:space="preserve">덮개 윗판 250×321, 옆판 200×321 × 2</t>
  </si>
  <si>
    <t xml:space="preserve">v3 단가 · 쿠팡 /9593337115 · 재단 주문 가능하면 치수대로</t>
  </si>
  <si>
    <t xml:space="preserve">아두이노 레오나르도 R3 + 케이블</t>
  </si>
  <si>
    <t xml:space="preserve">ATmega32u4</t>
  </si>
  <si>
    <t xml:space="preserve">센서 → PC 게임 입력 + 모터 허가 출력</t>
  </si>
  <si>
    <t xml:space="preserve">v3 단가 · 쿠팡 /1119152790</t>
  </si>
  <si>
    <t xml:space="preserve">홀센서 A3144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</si>
  <si>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핀 소자</t>
    </r>
  </si>
  <si>
    <t xml:space="preserve">기어 위치 6 + 출력 rpm 1</t>
  </si>
  <si>
    <t xml:space="preserve">v3 단가 · 쿠팡 /8520223332</t>
  </si>
  <si>
    <t xml:space="preserve">네오디뮴 자석</t>
  </si>
  <si>
    <r>
      <rPr>
        <sz val="10"/>
        <rFont val="Arial"/>
        <family val="0"/>
        <charset val="1"/>
      </rPr>
      <t xml:space="preserve">Ø6×3mm 40</t>
    </r>
    <r>
      <rPr>
        <sz val="10"/>
        <rFont val="Noto Sans CJK SC"/>
        <family val="2"/>
      </rPr>
      <t xml:space="preserve">개</t>
    </r>
  </si>
  <si>
    <t xml:space="preserve">러그 3 + 표시 바퀴 4</t>
  </si>
  <si>
    <t xml:space="preserve">v3 단가 · 쿠팡 /7119515778</t>
  </si>
  <si>
    <t xml:space="preserve">가변저항 B10K</t>
  </si>
  <si>
    <t xml:space="preserve">노브 포함</t>
  </si>
  <si>
    <t xml:space="preserve">핸들·클러치·브레이크</t>
  </si>
  <si>
    <t xml:space="preserve">v3 단가 · 축 지름·반달 치수 미확인 (페달 팔 구멍 Ø6.1, 평면 4.6)</t>
  </si>
  <si>
    <t xml:space="preserve">마이크로스위치</t>
  </si>
  <si>
    <r>
      <rPr>
        <sz val="10"/>
        <rFont val="Arial"/>
        <family val="0"/>
        <charset val="1"/>
      </rPr>
      <t xml:space="preserve">KW-11-3Z </t>
    </r>
    <r>
      <rPr>
        <sz val="10"/>
        <rFont val="Noto Sans CJK SC"/>
        <family val="2"/>
      </rPr>
      <t xml:space="preserve">레버형</t>
    </r>
  </si>
  <si>
    <t xml:space="preserve">덮개 열림 감지 1 + 여분 1</t>
  </si>
  <si>
    <t xml:space="preserve">v3 단가 · 쿠팡 /9167678186</t>
  </si>
  <si>
    <t xml:space="preserve">점퍼 케이블</t>
  </si>
  <si>
    <t xml:space="preserve">M-F 40P 40cm</t>
  </si>
  <si>
    <t xml:space="preserve">센서 배선</t>
  </si>
  <si>
    <t xml:space="preserve">v3 단가 · 쿠팡 /9699042565</t>
  </si>
  <si>
    <t xml:space="preserve">만능기판</t>
  </si>
  <si>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개 묶음</t>
    </r>
  </si>
  <si>
    <t xml:space="preserve">v3 단가 · 쿠팡 /9661304796</t>
  </si>
  <si>
    <t xml:space="preserve">자동차 릴레이 + 소켓</t>
  </si>
  <si>
    <r>
      <rPr>
        <sz val="10"/>
        <rFont val="Arial"/>
        <family val="0"/>
        <charset val="1"/>
      </rPr>
      <t xml:space="preserve">12V, </t>
    </r>
    <r>
      <rPr>
        <sz val="10"/>
        <rFont val="Noto Sans CJK SC"/>
        <family val="2"/>
      </rPr>
      <t xml:space="preserve">접점 </t>
    </r>
    <r>
      <rPr>
        <sz val="10"/>
        <rFont val="Arial"/>
        <family val="0"/>
        <charset val="1"/>
      </rPr>
      <t xml:space="preserve">40A, 4</t>
    </r>
    <r>
      <rPr>
        <sz val="10"/>
        <rFont val="Noto Sans CJK SC"/>
        <family val="2"/>
      </rPr>
      <t xml:space="preserve">핀</t>
    </r>
  </si>
  <si>
    <t xml:space="preserve">모터 전원 주 스위치</t>
  </si>
  <si>
    <t xml:space="preserve">검색어 "12V 40A 릴레이 소켓" · 코일 회로에 비상정지·덮개 스위치·5V 릴레이 모듈 직렬</t>
  </si>
  <si>
    <t xml:space="preserve">블레이드 퓨즈 + 인라인 홀더</t>
  </si>
  <si>
    <t xml:space="preserve">15A</t>
  </si>
  <si>
    <t xml:space="preserve">배터리 + 단자 바로 옆</t>
  </si>
  <si>
    <t xml:space="preserve">여분 퓨즈 2개 권장</t>
  </si>
  <si>
    <t xml:space="preserve">비상정지 스위치</t>
  </si>
  <si>
    <r>
      <rPr>
        <sz val="10"/>
        <rFont val="Noto Sans CJK SC"/>
        <family val="2"/>
      </rPr>
      <t xml:space="preserve">버섯형</t>
    </r>
    <r>
      <rPr>
        <sz val="10"/>
        <rFont val="Arial"/>
        <family val="0"/>
        <charset val="1"/>
      </rPr>
      <t xml:space="preserve">, b</t>
    </r>
    <r>
      <rPr>
        <sz val="10"/>
        <rFont val="Noto Sans CJK SC"/>
        <family val="2"/>
      </rPr>
      <t xml:space="preserve">접점</t>
    </r>
    <r>
      <rPr>
        <sz val="10"/>
        <rFont val="Arial"/>
        <family val="0"/>
        <charset val="1"/>
      </rPr>
      <t xml:space="preserve">(NC)</t>
    </r>
  </si>
  <si>
    <t xml:space="preserve">운영자 비상 차단 (릴레이 코일 회로)</t>
  </si>
  <si>
    <t xml:space="preserve">5V 릴레이 모듈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</si>
  <si>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채널</t>
    </r>
  </si>
  <si>
    <t xml:space="preserve">아두이노 워치독 → 주 릴레이 코일 차단</t>
  </si>
  <si>
    <t xml:space="preserve">로우 트리거 기준. 하이 트리거면 펌웨어 RELAY_ACTIVE_LOW=false</t>
  </si>
  <si>
    <t xml:space="preserve">다이오드 1N4007</t>
  </si>
  <si>
    <t xml:space="preserve">주 릴레이 코일 역기전력 흡수 1 + 여분 1</t>
  </si>
  <si>
    <t xml:space="preserve">내장 다이오드 릴레이면 생략</t>
  </si>
  <si>
    <t xml:space="preserve">전선</t>
  </si>
  <si>
    <r>
      <rPr>
        <sz val="10"/>
        <rFont val="Arial"/>
        <family val="0"/>
        <charset val="1"/>
      </rPr>
      <t xml:space="preserve">1.5mm² </t>
    </r>
    <r>
      <rPr>
        <sz val="10"/>
        <rFont val="Noto Sans CJK SC"/>
        <family val="2"/>
      </rPr>
      <t xml:space="preserve">이상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흑 각 </t>
    </r>
    <r>
      <rPr>
        <sz val="10"/>
        <rFont val="Arial"/>
        <family val="0"/>
        <charset val="1"/>
      </rPr>
      <t xml:space="preserve">2m</t>
    </r>
  </si>
  <si>
    <t xml:space="preserve">배터리-퓨즈-릴레이-모터 드라이버</t>
  </si>
  <si>
    <t xml:space="preserve">퓨즈 15A 기준</t>
  </si>
  <si>
    <t xml:space="preserve">압착 단자 세트</t>
  </si>
  <si>
    <r>
      <rPr>
        <sz val="10"/>
        <rFont val="Arial"/>
        <family val="0"/>
        <charset val="1"/>
      </rPr>
      <t xml:space="preserve">250 </t>
    </r>
    <r>
      <rPr>
        <sz val="10"/>
        <rFont val="Noto Sans CJK SC"/>
        <family val="2"/>
      </rPr>
      <t xml:space="preserve">규격</t>
    </r>
    <r>
      <rPr>
        <sz val="10"/>
        <rFont val="Arial"/>
        <family val="0"/>
        <charset val="1"/>
      </rPr>
      <t xml:space="preserve">(6.3mm) </t>
    </r>
    <r>
      <rPr>
        <sz val="10"/>
        <rFont val="Noto Sans CJK SC"/>
        <family val="2"/>
      </rPr>
      <t xml:space="preserve">절연 암 평형 단자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수축 튜브</t>
    </r>
  </si>
  <si>
    <t xml:space="preserve">퓨즈 홀더·릴레이 소켓 연결 (배터리 쪽은 키트 선 단자 재사용)</t>
  </si>
  <si>
    <t xml:space="preserve">배터리 단자 = 6.3mm 평형 탭(사진 확인) · 홀더·소켓에 단자 포함이면 생략</t>
  </si>
  <si>
    <t xml:space="preserve">저항</t>
  </si>
  <si>
    <r>
      <rPr>
        <sz val="10"/>
        <rFont val="Arial"/>
        <family val="0"/>
        <charset val="1"/>
      </rPr>
      <t xml:space="preserve">10kΩ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+ 4.7kΩ 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(1/4W)</t>
    </r>
  </si>
  <si>
    <t xml:space="preserve">안전 회로 감지 (비상정지·덮개 뒤 12V → 아두이노 A4)</t>
  </si>
  <si>
    <t xml:space="preserve">풀었을 때 페달을 떼야 재시동 (펌웨어)</t>
  </si>
  <si>
    <t xml:space="preserve">PLA 필라멘트</t>
  </si>
  <si>
    <r>
      <rPr>
        <sz val="10"/>
        <rFont val="Arial"/>
        <family val="0"/>
        <charset val="1"/>
      </rPr>
      <t xml:space="preserve">2.85mm, 1kg </t>
    </r>
    <r>
      <rPr>
        <sz val="10"/>
        <rFont val="Noto Sans CJK SC"/>
        <family val="2"/>
      </rPr>
      <t xml:space="preserve">롤</t>
    </r>
  </si>
  <si>
    <t xml:space="preserve">롤</t>
  </si>
  <si>
    <t xml:space="preserve">출력 예상 3.99kg + 실패 여유 15% − 보유 750g 롤 1개</t>
  </si>
  <si>
    <t xml:space="preserve">PrusaSlicer 추정 (Cura 와 다를 수 있음) · 단가 미확인</t>
  </si>
  <si>
    <t xml:space="preserve">걸이 저울</t>
  </si>
  <si>
    <r>
      <rPr>
        <sz val="10"/>
        <rFont val="Arial"/>
        <family val="0"/>
        <charset val="1"/>
      </rPr>
      <t xml:space="preserve">0~5kg, 10g </t>
    </r>
    <r>
      <rPr>
        <sz val="10"/>
        <rFont val="Noto Sans CJK SC"/>
        <family val="2"/>
      </rPr>
      <t xml:space="preserve">단위</t>
    </r>
  </si>
  <si>
    <t xml:space="preserve">클러치 미끄럼 토크·끌림 토크 측정</t>
  </si>
  <si>
    <t xml:space="preserve">선택</t>
  </si>
  <si>
    <t xml:space="preserve">디지털 캘리퍼스</t>
  </si>
  <si>
    <r>
      <rPr>
        <sz val="10"/>
        <rFont val="Arial"/>
        <family val="0"/>
        <charset val="1"/>
      </rPr>
      <t xml:space="preserve">0.01mm </t>
    </r>
    <r>
      <rPr>
        <sz val="10"/>
        <rFont val="Noto Sans CJK SC"/>
        <family val="2"/>
      </rPr>
      <t xml:space="preserve">표시</t>
    </r>
    <r>
      <rPr>
        <sz val="10"/>
        <rFont val="Arial"/>
        <family val="0"/>
        <charset val="1"/>
      </rPr>
      <t xml:space="preserve">, 150mm</t>
    </r>
  </si>
  <si>
    <t xml:space="preserve">쿠폰·핀 구멍·축 지름 확인</t>
  </si>
  <si>
    <t xml:space="preserve">배송비</t>
  </si>
  <si>
    <t xml:space="preserve">새 판매처 포함</t>
  </si>
  <si>
    <t xml:space="preserve">식</t>
  </si>
  <si>
    <t xml:space="preserve">v3 는 22,900원 · 새 항목 판매처에 따라 달라짐 (미확인)</t>
  </si>
  <si>
    <t xml:space="preserve">합계 (확정 항목, 단가 입력된 것만)</t>
  </si>
  <si>
    <t xml:space="preserve">합계 (선택 포함)</t>
  </si>
  <si>
    <t xml:space="preserve">단가 미확인 항목 수</t>
  </si>
  <si>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 </t>
    </r>
    <r>
      <rPr>
        <b val="true"/>
        <sz val="14"/>
        <rFont val="Arial"/>
        <family val="0"/>
        <charset val="1"/>
      </rPr>
      <t xml:space="preserve">(v3)</t>
    </r>
  </si>
  <si>
    <t xml:space="preserve"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</si>
  <si>
    <t xml:space="preserve">6001ZZ 볼 베어링 (경제형 10개 묶음)</t>
  </si>
  <si>
    <r>
      <rPr>
        <sz val="10"/>
        <rFont val="Arial"/>
        <family val="0"/>
        <charset val="1"/>
      </rPr>
      <t xml:space="preserve">12×28×8, </t>
    </r>
    <r>
      <rPr>
        <sz val="10"/>
        <rFont val="Noto Sans CJK SC"/>
        <family val="2"/>
      </rPr>
      <t xml:space="preserve">옵션 </t>
    </r>
    <r>
      <rPr>
        <sz val="10"/>
        <rFont val="Arial"/>
        <family val="0"/>
        <charset val="1"/>
      </rPr>
      <t xml:space="preserve">6001ZZ</t>
    </r>
  </si>
  <si>
    <t xml:space="preserve">끝판 4 + 출력 기어 12 + 아이들러 2 = 18개</t>
  </si>
  <si>
    <t xml:space="preserve">쿠팡 /vp/products/8630678241 · 무료배송</t>
  </si>
  <si>
    <t xml:space="preserve">러그 디텐트 3개</t>
  </si>
  <si>
    <t xml:space="preserve">쿠팡 /9638493021 · 무료배송</t>
  </si>
  <si>
    <t xml:space="preserve">쿠팡 /2236695303 · 길이 구성 미확인 → 아래 M3·M4 길이별 항목 확인</t>
  </si>
  <si>
    <t xml:space="preserve">센서 → PC 게임 입력</t>
  </si>
  <si>
    <t xml:space="preserve">쿠팡 /1119152790 · 배송 2,700</t>
  </si>
  <si>
    <t xml:space="preserve">러그 3 + 표시 바퀴 1</t>
  </si>
  <si>
    <t xml:space="preserve">쿠팡 /7119515778 · 와우 무료배송(아니면 미확인)</t>
  </si>
  <si>
    <t xml:space="preserve">쿠팡 /8520223332 · 배송 3,000</t>
  </si>
  <si>
    <t xml:space="preserve">쿠팡 /9428838021 · 배송 3,000 · 축 지름 미확인</t>
  </si>
  <si>
    <t xml:space="preserve">아크릴 덮개 열림 감지 등 (릴레이 코일 회로)</t>
  </si>
  <si>
    <t xml:space="preserve">쿠팡 /9167678186 · 배송 3,000</t>
  </si>
  <si>
    <t xml:space="preserve">쿠팡 /9699042565</t>
  </si>
  <si>
    <t xml:space="preserve">쿠팡 /9661304796 (쿠팡은 묶음만)</t>
  </si>
  <si>
    <t xml:space="preserve">기어부 덮개</t>
  </si>
  <si>
    <t xml:space="preserve">쿠팡 /9593337115 · 무료배송 · 덮개 설계 후 장수 확정</t>
  </si>
  <si>
    <t xml:space="preserve">선경 1.0 외경 7, 1m</t>
  </si>
  <si>
    <t xml:space="preserve">클러치·브레이크 페달 복귀 (잘라 고리 만듦)</t>
  </si>
  <si>
    <t xml:space="preserve">쿠팡 /7939346368 · 배송 3,000</t>
  </si>
  <si>
    <t xml:space="preserve">페달 힌지</t>
  </si>
  <si>
    <t xml:space="preserve">쿠팡 /9679379731</t>
  </si>
  <si>
    <t xml:space="preserve">M12 와셔</t>
  </si>
  <si>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</si>
  <si>
    <t xml:space="preserve">맞물림 시험 지그</t>
  </si>
  <si>
    <t xml:space="preserve">쿠팡 /7104904321 · 배송 2,500</t>
  </si>
  <si>
    <t xml:space="preserve">바닥판 600×300으로 잘라 씀 (v2 350×200은 작음)</t>
  </si>
  <si>
    <t xml:space="preserve">쿠팡 /71452005 · 와우 무료배송</t>
  </si>
  <si>
    <r>
      <rPr>
        <sz val="10"/>
        <rFont val="Arial"/>
        <family val="0"/>
        <charset val="1"/>
      </rPr>
      <t xml:space="preserve">Ø12 1m → 400·370·55·160 </t>
    </r>
    <r>
      <rPr>
        <sz val="10"/>
        <rFont val="Noto Sans CJK SC"/>
        <family val="2"/>
      </rPr>
      <t xml:space="preserve">절단</t>
    </r>
    <r>
      <rPr>
        <sz val="10"/>
        <rFont val="Arial"/>
        <family val="0"/>
        <charset val="1"/>
      </rPr>
      <t xml:space="preserve">, 400·370 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컷 </t>
    </r>
    <r>
      <rPr>
        <sz val="10"/>
        <rFont val="Arial"/>
        <family val="0"/>
        <charset val="1"/>
      </rPr>
      <t xml:space="preserve">1mm</t>
    </r>
  </si>
  <si>
    <t xml:space="preserve">입력·출력·아이들러 축, 레버봉</t>
  </si>
  <si>
    <t xml:space="preserve">소망트레이딩 · 배송 3,000 · 절단·D컷 비용 미확인(전화 문의)</t>
  </si>
  <si>
    <t xml:space="preserve">Ø6 380mm</t>
  </si>
  <si>
    <t xml:space="preserve">소망트레이딩 · 380 옵션 단가 미확인 (200mm 옵션 2,600원)</t>
  </si>
  <si>
    <t xml:space="preserve">외경 5, 길이 10</t>
  </si>
  <si>
    <t xml:space="preserve">디바이스마트 no=15336164 · 배송 2,700</t>
  </si>
  <si>
    <t xml:space="preserve">외경 18, 길이 32</t>
  </si>
  <si>
    <t xml:space="preserve">레버 후진 잠금</t>
  </si>
  <si>
    <t xml:space="preserve">디바이스마트 no=15336269 · 안지름이 12mm 봉보다 큰지 미확인</t>
  </si>
  <si>
    <t xml:space="preserve">M4 볼트·너트</t>
  </si>
  <si>
    <t xml:space="preserve">받침 4, 케이지 4, 피벗 8, 게이트 4</t>
  </si>
  <si>
    <t xml:space="preserve">M3 볼트·너트</t>
  </si>
  <si>
    <t xml:space="preserve">M3×20 15, ×30 6, ×16 3, ×12 3, ×10 2</t>
  </si>
  <si>
    <t xml:space="preserve">슬리브 9, 칼라 6, 러그 6, 포크 3, 디텐트 3, 센서 2</t>
  </si>
  <si>
    <t xml:space="preserve">단가 미확인 · 세트에 길이가 있으면 생략</t>
  </si>
  <si>
    <t xml:space="preserve">받침 브래킷 → MDF</t>
  </si>
  <si>
    <t xml:space="preserve">레버봉-핑거·손잡이, 아이들러 축</t>
  </si>
  <si>
    <t xml:space="preserve">2.85mm</t>
  </si>
  <si>
    <t xml:space="preserve">kg</t>
  </si>
  <si>
    <t xml:space="preserve">출력 예상 2.54kg + 실패 여유</t>
  </si>
  <si>
    <t xml:space="preserve">보유 1롤 무게 확인 후 부족분만 · 단가 미확인</t>
  </si>
  <si>
    <t xml:space="preserve">쿠팡 판매자별 17,200 + 소망 3,000 + 디바이스마트 2,700</t>
  </si>
  <si>
    <t xml:space="preserve">2026-10-19 확인 · 새 항목 추가 시 달라질 수 있음</t>
  </si>
  <si>
    <t xml:space="preserve">축 커플링 / 클러치 부품</t>
  </si>
  <si>
    <t xml:space="preserve">감속기 출력축에 맞춤</t>
  </si>
  <si>
    <t xml:space="preserve">모터-입력축 연결 + 토크 제한 마찰 클러치</t>
  </si>
  <si>
    <t xml:space="preserve">보류</t>
  </si>
  <si>
    <t xml:space="preserve">감속기 확인 후 설계</t>
  </si>
  <si>
    <t xml:space="preserve">마찰 클러치 압착</t>
  </si>
  <si>
    <t xml:space="preserve">디바이스마트 no=15336269</t>
  </si>
  <si>
    <t xml:space="preserve">코르크·고무 시트</t>
  </si>
  <si>
    <t xml:space="preserve">마찰재</t>
  </si>
  <si>
    <t xml:space="preserve">클러치 원판</t>
  </si>
  <si>
    <t xml:space="preserve">클러치 케이블</t>
  </si>
  <si>
    <t xml:space="preserve">클러치 페달 → 클러치</t>
  </si>
  <si>
    <t xml:space="preserve">릴레이 + 퓨즈</t>
  </si>
  <si>
    <t xml:space="preserve">접점 30A 이상 + 배터리 옆 퓨즈</t>
  </si>
  <si>
    <t xml:space="preserve">덮개·비상정지가 릴레이 코일만 끊음</t>
  </si>
  <si>
    <t xml:space="preserve">모터 전류 확인 후 정격 결정</t>
  </si>
  <si>
    <t xml:space="preserve">버섯형</t>
  </si>
  <si>
    <t xml:space="preserve">운영자 비상 차단</t>
  </si>
  <si>
    <t xml:space="preserve">합계 (보류 포함)</t>
  </si>
  <si>
    <r>
      <rPr>
        <b val="true"/>
        <sz val="14"/>
        <rFont val="Arial"/>
        <family val="0"/>
        <charset val="1"/>
      </rPr>
      <t xml:space="preserve">3D</t>
    </r>
    <r>
      <rPr>
        <b val="true"/>
        <sz val="14"/>
        <rFont val="Noto Sans CJK SC"/>
        <family val="2"/>
      </rPr>
      <t xml:space="preserve">프린팅 수동변속기 제작 </t>
    </r>
    <r>
      <rPr>
        <b val="true"/>
        <sz val="14"/>
        <rFont val="Arial"/>
        <family val="0"/>
        <charset val="1"/>
      </rPr>
      <t xml:space="preserve">- </t>
    </r>
    <r>
      <rPr>
        <b val="true"/>
        <sz val="14"/>
        <rFont val="Noto Sans CJK SC"/>
        <family val="2"/>
      </rPr>
      <t xml:space="preserve">구매 물품 목록</t>
    </r>
  </si>
  <si>
    <t xml:space="preserve">작성일 2026-09-25 · 설계서 v2 기준 · 노란 칸(단가)은 구매처 견적을 보고 입력하면 금액·합계가 자동 계산됩니다. '보류' 항목은 기어헤드 감속비·출력축 지름을 확인한 뒤 확정합니다.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</si>
  <si>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320mm</t>
    </r>
  </si>
  <si>
    <t xml:space="preserve">입력축·출력축</t>
  </si>
  <si>
    <t xml:space="preserve">절단 주문. 한쪽 면 D컷(깊이 1mm) 가공 요청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</si>
  <si>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80mm</t>
    </r>
  </si>
  <si>
    <t xml:space="preserve">절단 주문</t>
  </si>
  <si>
    <r>
      <rPr>
        <sz val="10"/>
        <rFont val="Arial"/>
        <family val="0"/>
        <charset val="1"/>
      </rPr>
      <t xml:space="preserve">Ø12mm,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60mm</t>
    </r>
  </si>
  <si>
    <t xml:space="preserve">볼 베어링</t>
  </si>
  <si>
    <r>
      <rPr>
        <sz val="10"/>
        <rFont val="Arial"/>
        <family val="0"/>
        <charset val="1"/>
      </rPr>
      <t xml:space="preserve">6001ZZ (</t>
    </r>
    <r>
      <rPr>
        <sz val="10"/>
        <rFont val="Noto Sans CJK SC"/>
        <family val="2"/>
      </rPr>
      <t xml:space="preserve">내경</t>
    </r>
    <r>
      <rPr>
        <sz val="10"/>
        <rFont val="Arial"/>
        <family val="0"/>
        <charset val="1"/>
      </rPr>
      <t xml:space="preserve">12×</t>
    </r>
    <r>
      <rPr>
        <sz val="10"/>
        <rFont val="Noto Sans CJK SC"/>
        <family val="2"/>
      </rPr>
      <t xml:space="preserve">외경</t>
    </r>
    <r>
      <rPr>
        <sz val="10"/>
        <rFont val="Arial"/>
        <family val="0"/>
        <charset val="1"/>
      </rPr>
      <t xml:space="preserve">28×</t>
    </r>
    <r>
      <rPr>
        <sz val="10"/>
        <rFont val="Noto Sans CJK SC"/>
        <family val="2"/>
      </rPr>
      <t xml:space="preserve">폭</t>
    </r>
    <r>
      <rPr>
        <sz val="10"/>
        <rFont val="Arial"/>
        <family val="0"/>
        <charset val="1"/>
      </rPr>
      <t xml:space="preserve">8mm)</t>
    </r>
  </si>
  <si>
    <t xml:space="preserve">입력·출력·아이들러 축 지지</t>
  </si>
  <si>
    <r>
      <rPr>
        <sz val="10"/>
        <rFont val="Arial"/>
        <family val="0"/>
        <charset val="1"/>
      </rPr>
      <t xml:space="preserve">Ø6mm, 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200mm</t>
    </r>
  </si>
  <si>
    <t xml:space="preserve">Ø6mm</t>
  </si>
  <si>
    <t xml:space="preserve">변속 디텐트(단 고정)</t>
  </si>
  <si>
    <t xml:space="preserve">묶음 판매 시 최소 수량</t>
  </si>
  <si>
    <t xml:space="preserve">압축 스프링</t>
  </si>
  <si>
    <t xml:space="preserve">선경 0.5~0.6mm, 외경 5~6mm, 길이 10mm 내외</t>
  </si>
  <si>
    <t xml:space="preserve">변속 디텐트</t>
  </si>
  <si>
    <t xml:space="preserve">볼트·너트 세트</t>
  </si>
  <si>
    <r>
      <rPr>
        <sz val="10"/>
        <rFont val="Arial"/>
        <family val="0"/>
        <charset val="1"/>
      </rPr>
      <t xml:space="preserve">M3, M4 (</t>
    </r>
    <r>
      <rPr>
        <sz val="10"/>
        <rFont val="Noto Sans CJK SC"/>
        <family val="2"/>
      </rPr>
      <t xml:space="preserve">길이 </t>
    </r>
    <r>
      <rPr>
        <sz val="10"/>
        <rFont val="Arial"/>
        <family val="0"/>
        <charset val="1"/>
      </rPr>
      <t xml:space="preserve">10~30mm </t>
    </r>
    <r>
      <rPr>
        <sz val="10"/>
        <rFont val="Noto Sans CJK SC"/>
        <family val="2"/>
      </rPr>
      <t xml:space="preserve">혼합</t>
    </r>
    <r>
      <rPr>
        <sz val="10"/>
        <rFont val="Arial"/>
        <family val="0"/>
        <charset val="1"/>
      </rPr>
      <t xml:space="preserve">)</t>
    </r>
  </si>
  <si>
    <t xml:space="preserve">프레임·베어링 블록 고정</t>
  </si>
  <si>
    <t xml:space="preserve">와셔</t>
  </si>
  <si>
    <t xml:space="preserve">M12</t>
  </si>
  <si>
    <r>
      <rPr>
        <sz val="10"/>
        <rFont val="Arial"/>
        <family val="0"/>
        <charset val="1"/>
      </rPr>
      <t xml:space="preserve">MDF </t>
    </r>
    <r>
      <rPr>
        <sz val="10"/>
        <rFont val="Noto Sans CJK SC"/>
        <family val="2"/>
      </rPr>
      <t xml:space="preserve">판</t>
    </r>
  </si>
  <si>
    <t xml:space="preserve">350×200×12mm</t>
  </si>
  <si>
    <t xml:space="preserve">바닥판</t>
  </si>
  <si>
    <t xml:space="preserve">학교 재고가 있으면 생략</t>
  </si>
  <si>
    <t xml:space="preserve">축 커플링</t>
  </si>
  <si>
    <t xml:space="preserve">기어헤드 출력축 지름 × Ø12mm</t>
  </si>
  <si>
    <t xml:space="preserve">모터(기어헤드)–입력축 연결</t>
  </si>
  <si>
    <t xml:space="preserve">기어헤드 출력축 지름 확인 후 확정</t>
  </si>
  <si>
    <t xml:space="preserve">클러치(토크 제한) 부품</t>
  </si>
  <si>
    <t xml:space="preserve">미정</t>
  </si>
  <si>
    <r>
      <rPr>
        <sz val="10"/>
        <rFont val="Arial"/>
        <family val="0"/>
        <charset val="1"/>
      </rPr>
      <t xml:space="preserve">PLA </t>
    </r>
    <r>
      <rPr>
        <sz val="10"/>
        <rFont val="Noto Sans CJK SC"/>
        <family val="2"/>
      </rPr>
      <t xml:space="preserve">기어 보호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클러치 조작</t>
    </r>
  </si>
  <si>
    <t xml:space="preserve">기어헤드 감속비 확인 후 설계</t>
  </si>
  <si>
    <r>
      <rPr>
        <sz val="10"/>
        <rFont val="Arial"/>
        <family val="0"/>
        <charset val="1"/>
      </rPr>
      <t xml:space="preserve">PLA </t>
    </r>
    <r>
      <rPr>
        <sz val="10"/>
        <rFont val="Noto Sans CJK SC"/>
        <family val="2"/>
      </rPr>
      <t xml:space="preserve">필라멘트</t>
    </r>
  </si>
  <si>
    <t xml:space="preserve">부품 출력</t>
  </si>
  <si>
    <t xml:space="preserve">구매 완료</t>
  </si>
  <si>
    <t xml:space="preserve">금액 0 처리</t>
  </si>
  <si>
    <t xml:space="preserve">아두이노 레오나르도 (ATmega32u4)</t>
  </si>
  <si>
    <r>
      <rPr>
        <sz val="10"/>
        <rFont val="Arial"/>
        <family val="0"/>
        <charset val="1"/>
      </rPr>
      <t xml:space="preserve">USB </t>
    </r>
    <r>
      <rPr>
        <sz val="10"/>
        <rFont val="Noto Sans CJK SC"/>
        <family val="2"/>
      </rPr>
      <t xml:space="preserve">게임 컨트롤러로 인식되는 보드 </t>
    </r>
    <r>
      <rPr>
        <sz val="10"/>
        <rFont val="Arial"/>
        <family val="0"/>
        <charset val="1"/>
      </rPr>
      <t xml:space="preserve">(Pro Micro</t>
    </r>
    <r>
      <rPr>
        <sz val="10"/>
        <rFont val="Noto Sans CJK SC"/>
        <family val="2"/>
      </rPr>
      <t xml:space="preserve">도 가능</t>
    </r>
    <r>
      <rPr>
        <sz val="10"/>
        <rFont val="Arial"/>
        <family val="0"/>
        <charset val="1"/>
      </rPr>
      <t xml:space="preserve">)</t>
    </r>
  </si>
  <si>
    <t xml:space="preserve">일반 우노는 USB 게임패드로 인식 안 됨</t>
  </si>
  <si>
    <t xml:space="preserve">홀 센서 (디지털)</t>
  </si>
  <si>
    <r>
      <rPr>
        <sz val="10"/>
        <rFont val="Arial"/>
        <family val="0"/>
        <charset val="1"/>
      </rPr>
      <t xml:space="preserve">A3144 </t>
    </r>
    <r>
      <rPr>
        <sz val="10"/>
        <rFont val="Noto Sans CJK SC"/>
        <family val="2"/>
      </rPr>
      <t xml:space="preserve">또는 동급</t>
    </r>
    <r>
      <rPr>
        <sz val="10"/>
        <rFont val="Arial"/>
        <family val="0"/>
        <charset val="1"/>
      </rPr>
      <t xml:space="preserve">, 5V</t>
    </r>
  </si>
  <si>
    <t xml:space="preserve">변속 레일 3개×2 = 기어 위치 6, 출력축 회전수 1</t>
  </si>
  <si>
    <t xml:space="preserve">Ø6×3mm</t>
  </si>
  <si>
    <t xml:space="preserve">홀 센서 감지용</t>
  </si>
  <si>
    <t xml:space="preserve">가변저항</t>
  </si>
  <si>
    <r>
      <rPr>
        <sz val="10"/>
        <rFont val="Arial"/>
        <family val="0"/>
        <charset val="1"/>
      </rPr>
      <t xml:space="preserve">10kΩ </t>
    </r>
    <r>
      <rPr>
        <sz val="10"/>
        <rFont val="Noto Sans CJK SC"/>
        <family val="2"/>
      </rPr>
      <t xml:space="preserve">회전형</t>
    </r>
    <r>
      <rPr>
        <sz val="10"/>
        <rFont val="Arial"/>
        <family val="0"/>
        <charset val="1"/>
      </rPr>
      <t xml:space="preserve">(B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), </t>
    </r>
    <r>
      <rPr>
        <sz val="10"/>
        <rFont val="Noto Sans CJK SC"/>
        <family val="2"/>
      </rPr>
      <t xml:space="preserve">축 </t>
    </r>
    <r>
      <rPr>
        <sz val="10"/>
        <rFont val="Arial"/>
        <family val="0"/>
        <charset val="1"/>
      </rPr>
      <t xml:space="preserve">6mm</t>
    </r>
  </si>
  <si>
    <t xml:space="preserve">핸들 조향각, 클러치 페달, 브레이크 페달</t>
  </si>
  <si>
    <t xml:space="preserve">점퍼선·만능기판 세트</t>
  </si>
  <si>
    <t xml:space="preserve">듀폰 점퍼선 40P + 만능기판</t>
  </si>
  <si>
    <t xml:space="preserve">USB 케이블</t>
  </si>
  <si>
    <t xml:space="preserve">아두이노 레오나르도 규격 (마이크로 5핀)</t>
  </si>
  <si>
    <t xml:space="preserve">PC 연결</t>
  </si>
  <si>
    <t xml:space="preserve">보드 구매 시 포함 여부 확인</t>
  </si>
  <si>
    <t xml:space="preserve">투명 아크릴 판</t>
  </si>
  <si>
    <t xml:space="preserve">두께 3mm, 크기는 프레임 확정 후</t>
  </si>
  <si>
    <t xml:space="preserve">기어부 안전 덮개</t>
  </si>
  <si>
    <t xml:space="preserve">프레임 치수 확정 후</t>
  </si>
  <si>
    <t xml:space="preserve">버섯형, 정격 전류는 모터 전류 확인 후</t>
  </si>
  <si>
    <t xml:space="preserve">운영자 비상 전원 차단</t>
  </si>
  <si>
    <t xml:space="preserve">감속기·모터 W 확인 후</t>
  </si>
  <si>
    <t xml:space="preserve">선경 1mm, 외경 8mm, 길이 40mm 내외</t>
  </si>
  <si>
    <t xml:space="preserve">새로 만드는 클러치·브레이크 페달 복귀용 (가속 페달은 기존 것 사용)</t>
  </si>
  <si>
    <r>
      <rPr>
        <sz val="10"/>
        <rFont val="Arial"/>
        <family val="0"/>
        <charset val="1"/>
      </rPr>
      <t xml:space="preserve">M6×50mm + </t>
    </r>
    <r>
      <rPr>
        <sz val="10"/>
        <rFont val="Noto Sans CJK SC"/>
        <family val="2"/>
      </rPr>
      <t xml:space="preserve">나일론 너트</t>
    </r>
  </si>
  <si>
    <t xml:space="preserve">클러치·브레이크 페달 힌지 축</t>
  </si>
  <si>
    <t xml:space="preserve">자전거 브레이크 케이블 + 아우터</t>
  </si>
  <si>
    <t xml:space="preserve">클러치 페달 → 실물 클러치</t>
  </si>
  <si>
    <t xml:space="preserve">클러치 설계 확정 후</t>
  </si>
  <si>
    <t xml:space="preserve">합계 (확정 항목)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</si>
</sst>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-#,##0;\-"/>
    <numFmt numFmtId="166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i val="true"/>
      <sz val="9"/>
      <name val="Noto Sans CJK SC"/>
      <family val="2"/>
      <charset val="1"/>
    </font>
    <font>
      <b val="true"/>
      <sz val="11"/>
      <color rgb="FFFFFFFF"/>
      <name val="Noto Sans CJK SC"/>
      <family val="2"/>
      <charset val="1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1"/>
      <name val="Noto Sans CJK SC"/>
      <family val="2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4"/>
    <col collapsed="false" customWidth="true" hidden="false" outlineLevel="0" max="4" min="4" style="0" width="6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0"/>
    <col collapsed="false" customWidth="true" hidden="false" outlineLevel="0" max="10" min="10" style="0" width="48"/>
  </cols>
  <sheetData>
    <row r="1" customFormat="false" ht="21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9.25" hidden="false" customHeight="true" outlineLevel="0" collapsed="false">
      <c r="A5" s="4" t="n">
        <v>1</v>
      </c>
      <c r="B5" s="5" t="s">
        <v>12</v>
      </c>
      <c r="C5" s="4" t="s">
        <v>13</v>
      </c>
      <c r="D5" s="4" t="n">
        <v>2</v>
      </c>
      <c r="E5" s="5" t="s">
        <v>14</v>
      </c>
      <c r="F5" s="6" t="n">
        <v>6000</v>
      </c>
      <c r="G5" s="7" t="n">
        <f aca="false">D5*F5</f>
        <v>12000</v>
      </c>
      <c r="H5" s="5" t="s">
        <v>15</v>
      </c>
      <c r="I5" s="5" t="s">
        <v>16</v>
      </c>
      <c r="J5" s="5" t="s">
        <v>17</v>
      </c>
    </row>
    <row r="6" customFormat="false" ht="29.25" hidden="false" customHeight="true" outlineLevel="0" collapsed="false">
      <c r="A6" s="4" t="n">
        <v>2</v>
      </c>
      <c r="B6" s="5" t="s">
        <v>18</v>
      </c>
      <c r="C6" s="4" t="s">
        <v>19</v>
      </c>
      <c r="D6" s="4" t="n">
        <v>1</v>
      </c>
      <c r="E6" s="5" t="s">
        <v>20</v>
      </c>
      <c r="F6" s="6"/>
      <c r="G6" s="7" t="n">
        <f aca="false">D6*F6</f>
        <v>0</v>
      </c>
      <c r="H6" s="5" t="s">
        <v>21</v>
      </c>
      <c r="I6" s="5" t="s">
        <v>16</v>
      </c>
      <c r="J6" s="5" t="s">
        <v>22</v>
      </c>
    </row>
    <row r="7" customFormat="false" ht="29.25" hidden="false" customHeight="true" outlineLevel="0" collapsed="false">
      <c r="A7" s="4" t="n">
        <v>3</v>
      </c>
      <c r="B7" s="5" t="s">
        <v>23</v>
      </c>
      <c r="C7" s="4" t="s">
        <v>24</v>
      </c>
      <c r="D7" s="4" t="n">
        <v>1</v>
      </c>
      <c r="E7" s="5" t="s">
        <v>20</v>
      </c>
      <c r="F7" s="6" t="n">
        <v>16000</v>
      </c>
      <c r="G7" s="7" t="n">
        <f aca="false">D7*F7</f>
        <v>16000</v>
      </c>
      <c r="H7" s="5" t="s">
        <v>25</v>
      </c>
      <c r="I7" s="5" t="s">
        <v>16</v>
      </c>
      <c r="J7" s="5" t="s">
        <v>26</v>
      </c>
    </row>
    <row r="8" customFormat="false" ht="29.25" hidden="false" customHeight="true" outlineLevel="0" collapsed="false">
      <c r="A8" s="4" t="n">
        <v>4</v>
      </c>
      <c r="B8" s="5" t="s">
        <v>27</v>
      </c>
      <c r="C8" s="4" t="s">
        <v>28</v>
      </c>
      <c r="D8" s="4" t="n">
        <v>1</v>
      </c>
      <c r="E8" s="5" t="s">
        <v>20</v>
      </c>
      <c r="F8" s="6"/>
      <c r="G8" s="7" t="n">
        <f aca="false">D8*F8</f>
        <v>0</v>
      </c>
      <c r="H8" s="5" t="s">
        <v>29</v>
      </c>
      <c r="I8" s="5" t="s">
        <v>16</v>
      </c>
      <c r="J8" s="5" t="s">
        <v>30</v>
      </c>
    </row>
    <row r="9" customFormat="false" ht="29.25" hidden="false" customHeight="true" outlineLevel="0" collapsed="false">
      <c r="A9" s="4" t="n">
        <v>5</v>
      </c>
      <c r="B9" s="5" t="s">
        <v>31</v>
      </c>
      <c r="C9" s="4" t="s">
        <v>32</v>
      </c>
      <c r="D9" s="4" t="n">
        <v>3</v>
      </c>
      <c r="E9" s="5" t="s">
        <v>20</v>
      </c>
      <c r="F9" s="6"/>
      <c r="G9" s="7" t="n">
        <f aca="false">D9*F9</f>
        <v>0</v>
      </c>
      <c r="H9" s="5" t="s">
        <v>33</v>
      </c>
      <c r="I9" s="5" t="s">
        <v>16</v>
      </c>
      <c r="J9" s="5" t="s">
        <v>34</v>
      </c>
    </row>
    <row r="10" customFormat="false" ht="29.25" hidden="false" customHeight="true" outlineLevel="0" collapsed="false">
      <c r="A10" s="4" t="n">
        <v>6</v>
      </c>
      <c r="B10" s="5" t="s">
        <v>35</v>
      </c>
      <c r="C10" s="4" t="s">
        <v>36</v>
      </c>
      <c r="D10" s="4" t="n">
        <v>28</v>
      </c>
      <c r="E10" s="5" t="s">
        <v>20</v>
      </c>
      <c r="F10" s="6"/>
      <c r="G10" s="7" t="n">
        <f aca="false">D10*F10</f>
        <v>0</v>
      </c>
      <c r="H10" s="5" t="s">
        <v>37</v>
      </c>
      <c r="I10" s="5" t="s">
        <v>16</v>
      </c>
      <c r="J10" s="5" t="s">
        <v>38</v>
      </c>
    </row>
    <row r="11" customFormat="false" ht="29.25" hidden="false" customHeight="true" outlineLevel="0" collapsed="false">
      <c r="A11" s="4" t="n">
        <v>7</v>
      </c>
      <c r="B11" s="5" t="s">
        <v>35</v>
      </c>
      <c r="C11" s="4" t="s">
        <v>39</v>
      </c>
      <c r="D11" s="4" t="n">
        <v>6</v>
      </c>
      <c r="E11" s="5" t="s">
        <v>20</v>
      </c>
      <c r="F11" s="6"/>
      <c r="G11" s="7" t="n">
        <f aca="false">D11*F11</f>
        <v>0</v>
      </c>
      <c r="H11" s="5" t="s">
        <v>40</v>
      </c>
      <c r="I11" s="5" t="s">
        <v>16</v>
      </c>
      <c r="J11" s="5" t="s">
        <v>41</v>
      </c>
    </row>
    <row r="12" customFormat="false" ht="29.25" hidden="false" customHeight="true" outlineLevel="0" collapsed="false">
      <c r="A12" s="4" t="n">
        <v>8</v>
      </c>
      <c r="B12" s="5" t="s">
        <v>42</v>
      </c>
      <c r="C12" s="8" t="s">
        <v>43</v>
      </c>
      <c r="D12" s="4" t="n">
        <v>1</v>
      </c>
      <c r="E12" s="5" t="s">
        <v>44</v>
      </c>
      <c r="F12" s="6"/>
      <c r="G12" s="7" t="n">
        <f aca="false">D12*F12</f>
        <v>0</v>
      </c>
      <c r="H12" s="5" t="s">
        <v>45</v>
      </c>
      <c r="I12" s="5" t="s">
        <v>16</v>
      </c>
      <c r="J12" s="5" t="s">
        <v>46</v>
      </c>
    </row>
    <row r="13" customFormat="false" ht="29.25" hidden="false" customHeight="true" outlineLevel="0" collapsed="false">
      <c r="A13" s="4" t="n">
        <v>9</v>
      </c>
      <c r="B13" s="5" t="s">
        <v>47</v>
      </c>
      <c r="C13" s="8" t="s">
        <v>48</v>
      </c>
      <c r="D13" s="4" t="n">
        <v>2</v>
      </c>
      <c r="E13" s="5" t="s">
        <v>20</v>
      </c>
      <c r="F13" s="6"/>
      <c r="G13" s="7" t="n">
        <f aca="false">D13*F13</f>
        <v>0</v>
      </c>
      <c r="H13" s="5" t="s">
        <v>49</v>
      </c>
      <c r="I13" s="5" t="s">
        <v>16</v>
      </c>
      <c r="J13" s="5" t="s">
        <v>50</v>
      </c>
    </row>
    <row r="14" customFormat="false" ht="29.25" hidden="false" customHeight="true" outlineLevel="0" collapsed="false">
      <c r="A14" s="4" t="n">
        <v>10</v>
      </c>
      <c r="B14" s="5" t="s">
        <v>51</v>
      </c>
      <c r="C14" s="8" t="s">
        <v>52</v>
      </c>
      <c r="D14" s="4" t="n">
        <v>1</v>
      </c>
      <c r="E14" s="5" t="s">
        <v>53</v>
      </c>
      <c r="F14" s="6"/>
      <c r="G14" s="7" t="n">
        <f aca="false">D14*F14</f>
        <v>0</v>
      </c>
      <c r="H14" s="5" t="s">
        <v>54</v>
      </c>
      <c r="I14" s="5" t="s">
        <v>16</v>
      </c>
      <c r="J14" s="5" t="s">
        <v>55</v>
      </c>
    </row>
    <row r="15" customFormat="false" ht="29.25" hidden="false" customHeight="true" outlineLevel="0" collapsed="false">
      <c r="A15" s="4" t="n">
        <v>11</v>
      </c>
      <c r="B15" s="5" t="s">
        <v>56</v>
      </c>
      <c r="C15" s="8" t="s">
        <v>57</v>
      </c>
      <c r="D15" s="4" t="n">
        <v>7</v>
      </c>
      <c r="E15" s="5" t="s">
        <v>20</v>
      </c>
      <c r="F15" s="6" t="n">
        <v>8360</v>
      </c>
      <c r="G15" s="7" t="n">
        <f aca="false">D15*F15</f>
        <v>58520</v>
      </c>
      <c r="H15" s="5" t="s">
        <v>58</v>
      </c>
      <c r="I15" s="5" t="s">
        <v>16</v>
      </c>
      <c r="J15" s="5" t="s">
        <v>59</v>
      </c>
    </row>
    <row r="16" customFormat="false" ht="29.25" hidden="false" customHeight="true" outlineLevel="0" collapsed="false">
      <c r="A16" s="4" t="n">
        <v>12</v>
      </c>
      <c r="B16" s="5" t="s">
        <v>60</v>
      </c>
      <c r="C16" s="8" t="s">
        <v>61</v>
      </c>
      <c r="D16" s="4" t="n">
        <v>3</v>
      </c>
      <c r="E16" s="5" t="s">
        <v>20</v>
      </c>
      <c r="F16" s="6" t="n">
        <v>990</v>
      </c>
      <c r="G16" s="7" t="n">
        <f aca="false">D16*F16</f>
        <v>2970</v>
      </c>
      <c r="H16" s="5" t="s">
        <v>62</v>
      </c>
      <c r="I16" s="5" t="s">
        <v>16</v>
      </c>
      <c r="J16" s="5" t="s">
        <v>63</v>
      </c>
    </row>
    <row r="17" customFormat="false" ht="29.25" hidden="false" customHeight="true" outlineLevel="0" collapsed="false">
      <c r="A17" s="4" t="n">
        <v>13</v>
      </c>
      <c r="B17" s="5" t="s">
        <v>64</v>
      </c>
      <c r="C17" s="4" t="s">
        <v>65</v>
      </c>
      <c r="D17" s="4" t="n">
        <v>1</v>
      </c>
      <c r="E17" s="5" t="s">
        <v>66</v>
      </c>
      <c r="F17" s="6" t="n">
        <v>3500</v>
      </c>
      <c r="G17" s="7" t="n">
        <f aca="false">D17*F17</f>
        <v>3500</v>
      </c>
      <c r="H17" s="5" t="s">
        <v>67</v>
      </c>
      <c r="I17" s="5" t="s">
        <v>16</v>
      </c>
      <c r="J17" s="5" t="s">
        <v>68</v>
      </c>
    </row>
    <row r="18" customFormat="false" ht="29.25" hidden="false" customHeight="true" outlineLevel="0" collapsed="false">
      <c r="A18" s="4" t="n">
        <v>14</v>
      </c>
      <c r="B18" s="5" t="s">
        <v>69</v>
      </c>
      <c r="C18" s="8" t="s">
        <v>70</v>
      </c>
      <c r="D18" s="4" t="n">
        <v>6</v>
      </c>
      <c r="E18" s="5" t="s">
        <v>20</v>
      </c>
      <c r="F18" s="6"/>
      <c r="G18" s="7" t="n">
        <f aca="false">D18*F18</f>
        <v>0</v>
      </c>
      <c r="H18" s="5" t="s">
        <v>71</v>
      </c>
      <c r="I18" s="5" t="s">
        <v>16</v>
      </c>
      <c r="J18" s="5" t="s">
        <v>72</v>
      </c>
    </row>
    <row r="19" customFormat="false" ht="29.25" hidden="false" customHeight="true" outlineLevel="0" collapsed="false">
      <c r="A19" s="4" t="n">
        <v>15</v>
      </c>
      <c r="B19" s="5" t="s">
        <v>73</v>
      </c>
      <c r="C19" s="4" t="s">
        <v>74</v>
      </c>
      <c r="D19" s="4" t="n">
        <v>1</v>
      </c>
      <c r="E19" s="5" t="s">
        <v>75</v>
      </c>
      <c r="F19" s="6" t="n">
        <v>12580</v>
      </c>
      <c r="G19" s="7" t="n">
        <f aca="false">D19*F19</f>
        <v>12580</v>
      </c>
      <c r="H19" s="5" t="s">
        <v>76</v>
      </c>
      <c r="I19" s="5" t="s">
        <v>16</v>
      </c>
      <c r="J19" s="5" t="s">
        <v>77</v>
      </c>
    </row>
    <row r="20" customFormat="false" ht="29.25" hidden="false" customHeight="true" outlineLevel="0" collapsed="false">
      <c r="A20" s="4" t="n">
        <v>16</v>
      </c>
      <c r="B20" s="5" t="s">
        <v>78</v>
      </c>
      <c r="C20" s="4" t="s">
        <v>79</v>
      </c>
      <c r="D20" s="4" t="n">
        <v>9</v>
      </c>
      <c r="E20" s="5" t="s">
        <v>75</v>
      </c>
      <c r="F20" s="6"/>
      <c r="G20" s="7" t="n">
        <f aca="false">D20*F20</f>
        <v>0</v>
      </c>
      <c r="H20" s="5" t="s">
        <v>80</v>
      </c>
      <c r="I20" s="5" t="s">
        <v>16</v>
      </c>
      <c r="J20" s="5" t="s">
        <v>81</v>
      </c>
    </row>
    <row r="21" customFormat="false" ht="29.25" hidden="false" customHeight="true" outlineLevel="0" collapsed="false">
      <c r="A21" s="4" t="n">
        <v>17</v>
      </c>
      <c r="B21" s="5" t="s">
        <v>82</v>
      </c>
      <c r="C21" s="4" t="s">
        <v>83</v>
      </c>
      <c r="D21" s="4" t="n">
        <v>6</v>
      </c>
      <c r="E21" s="5" t="s">
        <v>20</v>
      </c>
      <c r="F21" s="6"/>
      <c r="G21" s="7" t="n">
        <f aca="false">D21*F21</f>
        <v>0</v>
      </c>
      <c r="H21" s="5" t="s">
        <v>84</v>
      </c>
      <c r="I21" s="5" t="s">
        <v>16</v>
      </c>
      <c r="J21" s="5" t="s">
        <v>81</v>
      </c>
    </row>
    <row r="22" customFormat="false" ht="29.25" hidden="false" customHeight="true" outlineLevel="0" collapsed="false">
      <c r="A22" s="4" t="n">
        <v>18</v>
      </c>
      <c r="B22" s="5" t="s">
        <v>82</v>
      </c>
      <c r="C22" s="4" t="s">
        <v>85</v>
      </c>
      <c r="D22" s="4" t="n">
        <v>37</v>
      </c>
      <c r="E22" s="5" t="s">
        <v>20</v>
      </c>
      <c r="F22" s="6"/>
      <c r="G22" s="7" t="n">
        <f aca="false">D22*F22</f>
        <v>0</v>
      </c>
      <c r="H22" s="5" t="s">
        <v>86</v>
      </c>
      <c r="I22" s="5" t="s">
        <v>16</v>
      </c>
      <c r="J22" s="5" t="s">
        <v>87</v>
      </c>
    </row>
    <row r="23" customFormat="false" ht="29.25" hidden="false" customHeight="true" outlineLevel="0" collapsed="false">
      <c r="A23" s="4" t="n">
        <v>19</v>
      </c>
      <c r="B23" s="5" t="s">
        <v>82</v>
      </c>
      <c r="C23" s="4" t="s">
        <v>88</v>
      </c>
      <c r="D23" s="4" t="n">
        <v>2</v>
      </c>
      <c r="E23" s="5" t="s">
        <v>20</v>
      </c>
      <c r="F23" s="6"/>
      <c r="G23" s="7" t="n">
        <f aca="false">D23*F23</f>
        <v>0</v>
      </c>
      <c r="H23" s="5" t="s">
        <v>89</v>
      </c>
      <c r="I23" s="5" t="s">
        <v>16</v>
      </c>
      <c r="J23" s="5" t="s">
        <v>81</v>
      </c>
    </row>
    <row r="24" customFormat="false" ht="29.25" hidden="false" customHeight="true" outlineLevel="0" collapsed="false">
      <c r="A24" s="4" t="n">
        <v>20</v>
      </c>
      <c r="B24" s="5" t="s">
        <v>82</v>
      </c>
      <c r="C24" s="4" t="s">
        <v>90</v>
      </c>
      <c r="D24" s="4" t="n">
        <v>4</v>
      </c>
      <c r="E24" s="5" t="s">
        <v>20</v>
      </c>
      <c r="F24" s="6"/>
      <c r="G24" s="7" t="n">
        <f aca="false">D24*F24</f>
        <v>0</v>
      </c>
      <c r="H24" s="5" t="s">
        <v>91</v>
      </c>
      <c r="I24" s="5" t="s">
        <v>16</v>
      </c>
      <c r="J24" s="5" t="s">
        <v>81</v>
      </c>
    </row>
    <row r="25" customFormat="false" ht="29.25" hidden="false" customHeight="true" outlineLevel="0" collapsed="false">
      <c r="A25" s="4" t="n">
        <v>21</v>
      </c>
      <c r="B25" s="5" t="s">
        <v>82</v>
      </c>
      <c r="C25" s="4" t="s">
        <v>92</v>
      </c>
      <c r="D25" s="4" t="n">
        <v>7</v>
      </c>
      <c r="E25" s="5" t="s">
        <v>20</v>
      </c>
      <c r="F25" s="6"/>
      <c r="G25" s="7" t="n">
        <f aca="false">D25*F25</f>
        <v>0</v>
      </c>
      <c r="H25" s="5" t="s">
        <v>93</v>
      </c>
      <c r="I25" s="5" t="s">
        <v>16</v>
      </c>
      <c r="J25" s="5" t="s">
        <v>81</v>
      </c>
    </row>
    <row r="26" customFormat="false" ht="29.25" hidden="false" customHeight="true" outlineLevel="0" collapsed="false">
      <c r="A26" s="4" t="n">
        <v>22</v>
      </c>
      <c r="B26" s="5" t="s">
        <v>94</v>
      </c>
      <c r="C26" s="4" t="s">
        <v>95</v>
      </c>
      <c r="D26" s="4" t="n">
        <v>1</v>
      </c>
      <c r="E26" s="5" t="s">
        <v>20</v>
      </c>
      <c r="F26" s="6"/>
      <c r="G26" s="7" t="n">
        <f aca="false">D26*F26</f>
        <v>0</v>
      </c>
      <c r="H26" s="5" t="s">
        <v>96</v>
      </c>
      <c r="I26" s="5" t="s">
        <v>16</v>
      </c>
      <c r="J26" s="5" t="s">
        <v>81</v>
      </c>
    </row>
    <row r="27" customFormat="false" ht="29.25" hidden="false" customHeight="true" outlineLevel="0" collapsed="false">
      <c r="A27" s="4" t="n">
        <v>23</v>
      </c>
      <c r="B27" s="5" t="s">
        <v>97</v>
      </c>
      <c r="C27" s="4" t="s">
        <v>98</v>
      </c>
      <c r="D27" s="4" t="n">
        <v>14</v>
      </c>
      <c r="E27" s="5" t="s">
        <v>20</v>
      </c>
      <c r="F27" s="6"/>
      <c r="G27" s="7" t="n">
        <f aca="false">D27*F27</f>
        <v>0</v>
      </c>
      <c r="H27" s="5" t="s">
        <v>99</v>
      </c>
      <c r="I27" s="5" t="s">
        <v>16</v>
      </c>
      <c r="J27" s="5" t="s">
        <v>100</v>
      </c>
    </row>
    <row r="28" customFormat="false" ht="29.25" hidden="false" customHeight="true" outlineLevel="0" collapsed="false">
      <c r="A28" s="4" t="n">
        <v>24</v>
      </c>
      <c r="B28" s="5" t="s">
        <v>101</v>
      </c>
      <c r="C28" s="4" t="s">
        <v>102</v>
      </c>
      <c r="D28" s="4" t="n">
        <v>20</v>
      </c>
      <c r="E28" s="5" t="s">
        <v>75</v>
      </c>
      <c r="F28" s="6"/>
      <c r="G28" s="7" t="n">
        <f aca="false">D28*F28</f>
        <v>0</v>
      </c>
      <c r="H28" s="5" t="s">
        <v>103</v>
      </c>
      <c r="I28" s="5" t="s">
        <v>16</v>
      </c>
      <c r="J28" s="5" t="s">
        <v>81</v>
      </c>
    </row>
    <row r="29" customFormat="false" ht="29.25" hidden="false" customHeight="true" outlineLevel="0" collapsed="false">
      <c r="A29" s="4" t="n">
        <v>25</v>
      </c>
      <c r="B29" s="5" t="s">
        <v>101</v>
      </c>
      <c r="C29" s="4" t="s">
        <v>104</v>
      </c>
      <c r="D29" s="4" t="n">
        <v>8</v>
      </c>
      <c r="E29" s="5" t="s">
        <v>75</v>
      </c>
      <c r="F29" s="6"/>
      <c r="G29" s="7" t="n">
        <f aca="false">D29*F29</f>
        <v>0</v>
      </c>
      <c r="H29" s="5" t="s">
        <v>105</v>
      </c>
      <c r="I29" s="5" t="s">
        <v>16</v>
      </c>
      <c r="J29" s="5" t="s">
        <v>81</v>
      </c>
    </row>
    <row r="30" customFormat="false" ht="29.25" hidden="false" customHeight="true" outlineLevel="0" collapsed="false">
      <c r="A30" s="4" t="n">
        <v>26</v>
      </c>
      <c r="B30" s="5" t="s">
        <v>101</v>
      </c>
      <c r="C30" s="4" t="s">
        <v>106</v>
      </c>
      <c r="D30" s="4" t="n">
        <v>3</v>
      </c>
      <c r="E30" s="5" t="s">
        <v>75</v>
      </c>
      <c r="F30" s="6"/>
      <c r="G30" s="7" t="n">
        <f aca="false">D30*F30</f>
        <v>0</v>
      </c>
      <c r="H30" s="5" t="s">
        <v>107</v>
      </c>
      <c r="I30" s="5" t="s">
        <v>16</v>
      </c>
      <c r="J30" s="5" t="s">
        <v>81</v>
      </c>
    </row>
    <row r="31" customFormat="false" ht="29.25" hidden="false" customHeight="true" outlineLevel="0" collapsed="false">
      <c r="A31" s="4" t="n">
        <v>27</v>
      </c>
      <c r="B31" s="5" t="s">
        <v>108</v>
      </c>
      <c r="C31" s="4" t="s">
        <v>109</v>
      </c>
      <c r="D31" s="4" t="n">
        <v>3</v>
      </c>
      <c r="E31" s="5" t="s">
        <v>75</v>
      </c>
      <c r="F31" s="6"/>
      <c r="G31" s="7" t="n">
        <f aca="false">D31*F31</f>
        <v>0</v>
      </c>
      <c r="H31" s="5" t="s">
        <v>110</v>
      </c>
      <c r="I31" s="5" t="s">
        <v>16</v>
      </c>
      <c r="J31" s="5" t="s">
        <v>111</v>
      </c>
    </row>
    <row r="32" customFormat="false" ht="29.25" hidden="false" customHeight="true" outlineLevel="0" collapsed="false">
      <c r="A32" s="4" t="n">
        <v>28</v>
      </c>
      <c r="B32" s="5" t="s">
        <v>108</v>
      </c>
      <c r="C32" s="4" t="s">
        <v>112</v>
      </c>
      <c r="D32" s="4" t="n">
        <v>3</v>
      </c>
      <c r="E32" s="5" t="s">
        <v>75</v>
      </c>
      <c r="F32" s="6"/>
      <c r="G32" s="7" t="n">
        <f aca="false">D32*F32</f>
        <v>0</v>
      </c>
      <c r="H32" s="5" t="s">
        <v>113</v>
      </c>
      <c r="I32" s="5" t="s">
        <v>16</v>
      </c>
      <c r="J32" s="5" t="s">
        <v>81</v>
      </c>
    </row>
    <row r="33" customFormat="false" ht="29.25" hidden="false" customHeight="true" outlineLevel="0" collapsed="false">
      <c r="A33" s="4" t="n">
        <v>29</v>
      </c>
      <c r="B33" s="5" t="s">
        <v>114</v>
      </c>
      <c r="C33" s="4" t="s">
        <v>115</v>
      </c>
      <c r="D33" s="4" t="n">
        <v>1</v>
      </c>
      <c r="E33" s="5" t="s">
        <v>75</v>
      </c>
      <c r="F33" s="6"/>
      <c r="G33" s="7" t="n">
        <f aca="false">D33*F33</f>
        <v>0</v>
      </c>
      <c r="H33" s="5" t="s">
        <v>116</v>
      </c>
      <c r="I33" s="5" t="s">
        <v>16</v>
      </c>
      <c r="J33" s="5" t="s">
        <v>81</v>
      </c>
    </row>
    <row r="34" customFormat="false" ht="29.25" hidden="false" customHeight="true" outlineLevel="0" collapsed="false">
      <c r="A34" s="4" t="n">
        <v>30</v>
      </c>
      <c r="B34" s="5" t="s">
        <v>117</v>
      </c>
      <c r="C34" s="4" t="s">
        <v>118</v>
      </c>
      <c r="D34" s="4" t="n">
        <v>1</v>
      </c>
      <c r="E34" s="5" t="s">
        <v>75</v>
      </c>
      <c r="F34" s="6" t="n">
        <v>4500</v>
      </c>
      <c r="G34" s="7" t="n">
        <f aca="false">D34*F34</f>
        <v>4500</v>
      </c>
      <c r="H34" s="5" t="s">
        <v>119</v>
      </c>
      <c r="I34" s="5" t="s">
        <v>16</v>
      </c>
      <c r="J34" s="5" t="s">
        <v>120</v>
      </c>
    </row>
    <row r="35" customFormat="false" ht="29.25" hidden="false" customHeight="true" outlineLevel="0" collapsed="false">
      <c r="A35" s="4" t="n">
        <v>31</v>
      </c>
      <c r="B35" s="5" t="s">
        <v>121</v>
      </c>
      <c r="C35" s="4" t="s">
        <v>122</v>
      </c>
      <c r="D35" s="4" t="n">
        <v>24</v>
      </c>
      <c r="E35" s="5" t="s">
        <v>20</v>
      </c>
      <c r="F35" s="6"/>
      <c r="G35" s="7" t="n">
        <f aca="false">D35*F35</f>
        <v>0</v>
      </c>
      <c r="H35" s="5" t="s">
        <v>123</v>
      </c>
      <c r="I35" s="5" t="s">
        <v>16</v>
      </c>
      <c r="J35" s="5" t="s">
        <v>81</v>
      </c>
    </row>
    <row r="36" customFormat="false" ht="29.25" hidden="false" customHeight="true" outlineLevel="0" collapsed="false">
      <c r="A36" s="4" t="n">
        <v>32</v>
      </c>
      <c r="B36" s="5" t="s">
        <v>124</v>
      </c>
      <c r="C36" s="4" t="s">
        <v>125</v>
      </c>
      <c r="D36" s="4" t="n">
        <v>1</v>
      </c>
      <c r="E36" s="5" t="s">
        <v>20</v>
      </c>
      <c r="F36" s="6"/>
      <c r="G36" s="7" t="n">
        <f aca="false">D36*F36</f>
        <v>0</v>
      </c>
      <c r="H36" s="5" t="s">
        <v>126</v>
      </c>
      <c r="I36" s="5" t="s">
        <v>16</v>
      </c>
      <c r="J36" s="5" t="s">
        <v>81</v>
      </c>
    </row>
    <row r="37" customFormat="false" ht="29.25" hidden="false" customHeight="true" outlineLevel="0" collapsed="false">
      <c r="A37" s="4" t="n">
        <v>33</v>
      </c>
      <c r="B37" s="5" t="s">
        <v>127</v>
      </c>
      <c r="C37" s="8" t="s">
        <v>128</v>
      </c>
      <c r="D37" s="4" t="n">
        <v>1</v>
      </c>
      <c r="E37" s="5" t="s">
        <v>20</v>
      </c>
      <c r="F37" s="6"/>
      <c r="G37" s="7" t="n">
        <f aca="false">D37*F37</f>
        <v>0</v>
      </c>
      <c r="H37" s="5" t="s">
        <v>129</v>
      </c>
      <c r="I37" s="5" t="s">
        <v>16</v>
      </c>
      <c r="J37" s="5" t="s">
        <v>130</v>
      </c>
    </row>
    <row r="38" customFormat="false" ht="29.25" hidden="false" customHeight="true" outlineLevel="0" collapsed="false">
      <c r="A38" s="4" t="n">
        <v>34</v>
      </c>
      <c r="B38" s="5" t="s">
        <v>131</v>
      </c>
      <c r="C38" s="8" t="s">
        <v>132</v>
      </c>
      <c r="D38" s="4" t="n">
        <v>1</v>
      </c>
      <c r="E38" s="5" t="s">
        <v>75</v>
      </c>
      <c r="F38" s="6"/>
      <c r="G38" s="7" t="n">
        <f aca="false">D38*F38</f>
        <v>0</v>
      </c>
      <c r="H38" s="5" t="s">
        <v>133</v>
      </c>
      <c r="I38" s="5" t="s">
        <v>16</v>
      </c>
      <c r="J38" s="5" t="s">
        <v>134</v>
      </c>
    </row>
    <row r="39" customFormat="false" ht="29.25" hidden="false" customHeight="true" outlineLevel="0" collapsed="false">
      <c r="A39" s="4" t="n">
        <v>35</v>
      </c>
      <c r="B39" s="5" t="s">
        <v>135</v>
      </c>
      <c r="C39" s="8" t="s">
        <v>136</v>
      </c>
      <c r="D39" s="4" t="n">
        <v>1</v>
      </c>
      <c r="E39" s="5" t="s">
        <v>20</v>
      </c>
      <c r="F39" s="6" t="n">
        <v>8000</v>
      </c>
      <c r="G39" s="7" t="n">
        <f aca="false">D39*F39</f>
        <v>8000</v>
      </c>
      <c r="H39" s="5" t="s">
        <v>137</v>
      </c>
      <c r="I39" s="5" t="s">
        <v>16</v>
      </c>
      <c r="J39" s="5" t="s">
        <v>138</v>
      </c>
    </row>
    <row r="40" customFormat="false" ht="29.25" hidden="false" customHeight="true" outlineLevel="0" collapsed="false">
      <c r="A40" s="4" t="n">
        <v>36</v>
      </c>
      <c r="B40" s="5" t="s">
        <v>139</v>
      </c>
      <c r="C40" s="4" t="s">
        <v>140</v>
      </c>
      <c r="D40" s="4" t="n">
        <v>1</v>
      </c>
      <c r="E40" s="5" t="s">
        <v>53</v>
      </c>
      <c r="F40" s="6" t="n">
        <v>9600</v>
      </c>
      <c r="G40" s="7" t="n">
        <f aca="false">D40*F40</f>
        <v>9600</v>
      </c>
      <c r="H40" s="5" t="s">
        <v>141</v>
      </c>
      <c r="I40" s="5" t="s">
        <v>16</v>
      </c>
      <c r="J40" s="5" t="s">
        <v>142</v>
      </c>
    </row>
    <row r="41" customFormat="false" ht="29.25" hidden="false" customHeight="true" outlineLevel="0" collapsed="false">
      <c r="A41" s="4" t="n">
        <v>37</v>
      </c>
      <c r="B41" s="5" t="s">
        <v>143</v>
      </c>
      <c r="C41" s="4" t="s">
        <v>144</v>
      </c>
      <c r="D41" s="4" t="n">
        <v>3</v>
      </c>
      <c r="E41" s="5" t="s">
        <v>53</v>
      </c>
      <c r="F41" s="6" t="n">
        <v>9000</v>
      </c>
      <c r="G41" s="7" t="n">
        <f aca="false">D41*F41</f>
        <v>27000</v>
      </c>
      <c r="H41" s="5" t="s">
        <v>145</v>
      </c>
      <c r="I41" s="5" t="s">
        <v>16</v>
      </c>
      <c r="J41" s="5" t="s">
        <v>146</v>
      </c>
    </row>
    <row r="42" customFormat="false" ht="29.25" hidden="false" customHeight="true" outlineLevel="0" collapsed="false">
      <c r="A42" s="4" t="n">
        <v>38</v>
      </c>
      <c r="B42" s="5" t="s">
        <v>147</v>
      </c>
      <c r="C42" s="4" t="s">
        <v>148</v>
      </c>
      <c r="D42" s="4" t="n">
        <v>1</v>
      </c>
      <c r="E42" s="5" t="s">
        <v>20</v>
      </c>
      <c r="F42" s="6" t="n">
        <v>9200</v>
      </c>
      <c r="G42" s="7" t="n">
        <f aca="false">D42*F42</f>
        <v>9200</v>
      </c>
      <c r="H42" s="5" t="s">
        <v>149</v>
      </c>
      <c r="I42" s="5" t="s">
        <v>16</v>
      </c>
      <c r="J42" s="5" t="s">
        <v>150</v>
      </c>
    </row>
    <row r="43" customFormat="false" ht="29.25" hidden="false" customHeight="true" outlineLevel="0" collapsed="false">
      <c r="A43" s="4" t="n">
        <v>39</v>
      </c>
      <c r="B43" s="5" t="s">
        <v>151</v>
      </c>
      <c r="C43" s="4" t="s">
        <v>152</v>
      </c>
      <c r="D43" s="4" t="n">
        <v>7</v>
      </c>
      <c r="E43" s="5" t="s">
        <v>20</v>
      </c>
      <c r="F43" s="6" t="n">
        <v>90</v>
      </c>
      <c r="G43" s="7" t="n">
        <f aca="false">D43*F43</f>
        <v>630</v>
      </c>
      <c r="H43" s="5" t="s">
        <v>153</v>
      </c>
      <c r="I43" s="5" t="s">
        <v>16</v>
      </c>
      <c r="J43" s="5" t="s">
        <v>154</v>
      </c>
    </row>
    <row r="44" customFormat="false" ht="29.25" hidden="false" customHeight="true" outlineLevel="0" collapsed="false">
      <c r="A44" s="4" t="n">
        <v>40</v>
      </c>
      <c r="B44" s="5" t="s">
        <v>155</v>
      </c>
      <c r="C44" s="4" t="s">
        <v>156</v>
      </c>
      <c r="D44" s="4" t="n">
        <v>1</v>
      </c>
      <c r="E44" s="5" t="s">
        <v>66</v>
      </c>
      <c r="F44" s="6" t="n">
        <v>11300</v>
      </c>
      <c r="G44" s="7" t="n">
        <f aca="false">D44*F44</f>
        <v>11300</v>
      </c>
      <c r="H44" s="5" t="s">
        <v>157</v>
      </c>
      <c r="I44" s="5" t="s">
        <v>16</v>
      </c>
      <c r="J44" s="5" t="s">
        <v>158</v>
      </c>
    </row>
    <row r="45" customFormat="false" ht="29.25" hidden="false" customHeight="true" outlineLevel="0" collapsed="false">
      <c r="A45" s="4" t="n">
        <v>41</v>
      </c>
      <c r="B45" s="5" t="s">
        <v>159</v>
      </c>
      <c r="C45" s="8" t="s">
        <v>160</v>
      </c>
      <c r="D45" s="4" t="n">
        <v>3</v>
      </c>
      <c r="E45" s="5" t="s">
        <v>20</v>
      </c>
      <c r="F45" s="6" t="n">
        <v>500</v>
      </c>
      <c r="G45" s="7" t="n">
        <f aca="false">D45*F45</f>
        <v>1500</v>
      </c>
      <c r="H45" s="5" t="s">
        <v>161</v>
      </c>
      <c r="I45" s="5" t="s">
        <v>16</v>
      </c>
      <c r="J45" s="5" t="s">
        <v>162</v>
      </c>
    </row>
    <row r="46" customFormat="false" ht="29.25" hidden="false" customHeight="true" outlineLevel="0" collapsed="false">
      <c r="A46" s="4" t="n">
        <v>42</v>
      </c>
      <c r="B46" s="5" t="s">
        <v>163</v>
      </c>
      <c r="C46" s="4" t="s">
        <v>164</v>
      </c>
      <c r="D46" s="4" t="n">
        <v>2</v>
      </c>
      <c r="E46" s="5" t="s">
        <v>20</v>
      </c>
      <c r="F46" s="6" t="n">
        <v>400</v>
      </c>
      <c r="G46" s="7" t="n">
        <f aca="false">D46*F46</f>
        <v>800</v>
      </c>
      <c r="H46" s="5" t="s">
        <v>165</v>
      </c>
      <c r="I46" s="5" t="s">
        <v>16</v>
      </c>
      <c r="J46" s="5" t="s">
        <v>166</v>
      </c>
    </row>
    <row r="47" customFormat="false" ht="29.25" hidden="false" customHeight="true" outlineLevel="0" collapsed="false">
      <c r="A47" s="4" t="n">
        <v>43</v>
      </c>
      <c r="B47" s="5" t="s">
        <v>167</v>
      </c>
      <c r="C47" s="4" t="s">
        <v>168</v>
      </c>
      <c r="D47" s="4" t="n">
        <v>1</v>
      </c>
      <c r="E47" s="5" t="s">
        <v>20</v>
      </c>
      <c r="F47" s="6" t="n">
        <v>5300</v>
      </c>
      <c r="G47" s="7" t="n">
        <f aca="false">D47*F47</f>
        <v>5300</v>
      </c>
      <c r="H47" s="5" t="s">
        <v>169</v>
      </c>
      <c r="I47" s="5" t="s">
        <v>16</v>
      </c>
      <c r="J47" s="5" t="s">
        <v>170</v>
      </c>
    </row>
    <row r="48" customFormat="false" ht="29.25" hidden="false" customHeight="true" outlineLevel="0" collapsed="false">
      <c r="A48" s="4" t="n">
        <v>44</v>
      </c>
      <c r="B48" s="5" t="s">
        <v>171</v>
      </c>
      <c r="C48" s="4" t="s">
        <v>172</v>
      </c>
      <c r="D48" s="4" t="n">
        <v>1</v>
      </c>
      <c r="E48" s="5" t="s">
        <v>66</v>
      </c>
      <c r="F48" s="6" t="n">
        <v>15000</v>
      </c>
      <c r="G48" s="7" t="n">
        <f aca="false">D48*F48</f>
        <v>15000</v>
      </c>
      <c r="H48" s="5" t="s">
        <v>169</v>
      </c>
      <c r="I48" s="5" t="s">
        <v>16</v>
      </c>
      <c r="J48" s="5" t="s">
        <v>173</v>
      </c>
    </row>
    <row r="49" customFormat="false" ht="29.25" hidden="false" customHeight="true" outlineLevel="0" collapsed="false">
      <c r="A49" s="4" t="n">
        <v>45</v>
      </c>
      <c r="B49" s="5" t="s">
        <v>174</v>
      </c>
      <c r="C49" s="4" t="s">
        <v>175</v>
      </c>
      <c r="D49" s="4" t="n">
        <v>1</v>
      </c>
      <c r="E49" s="5" t="s">
        <v>20</v>
      </c>
      <c r="F49" s="6"/>
      <c r="G49" s="7" t="n">
        <f aca="false">D49*F49</f>
        <v>0</v>
      </c>
      <c r="H49" s="5" t="s">
        <v>176</v>
      </c>
      <c r="I49" s="5" t="s">
        <v>16</v>
      </c>
      <c r="J49" s="5" t="s">
        <v>177</v>
      </c>
    </row>
    <row r="50" customFormat="false" ht="29.25" hidden="false" customHeight="true" outlineLevel="0" collapsed="false">
      <c r="A50" s="4" t="n">
        <v>46</v>
      </c>
      <c r="B50" s="5" t="s">
        <v>178</v>
      </c>
      <c r="C50" s="4" t="s">
        <v>179</v>
      </c>
      <c r="D50" s="4" t="n">
        <v>1</v>
      </c>
      <c r="E50" s="5" t="s">
        <v>75</v>
      </c>
      <c r="F50" s="6"/>
      <c r="G50" s="7" t="n">
        <f aca="false">D50*F50</f>
        <v>0</v>
      </c>
      <c r="H50" s="5" t="s">
        <v>180</v>
      </c>
      <c r="I50" s="5" t="s">
        <v>16</v>
      </c>
      <c r="J50" s="5" t="s">
        <v>181</v>
      </c>
    </row>
    <row r="51" customFormat="false" ht="29.25" hidden="false" customHeight="true" outlineLevel="0" collapsed="false">
      <c r="A51" s="4" t="n">
        <v>47</v>
      </c>
      <c r="B51" s="5" t="s">
        <v>182</v>
      </c>
      <c r="C51" s="8" t="s">
        <v>183</v>
      </c>
      <c r="D51" s="4" t="n">
        <v>1</v>
      </c>
      <c r="E51" s="5" t="s">
        <v>20</v>
      </c>
      <c r="F51" s="6"/>
      <c r="G51" s="7" t="n">
        <f aca="false">D51*F51</f>
        <v>0</v>
      </c>
      <c r="H51" s="5" t="s">
        <v>184</v>
      </c>
      <c r="I51" s="5" t="s">
        <v>16</v>
      </c>
      <c r="J51" s="5" t="s">
        <v>81</v>
      </c>
    </row>
    <row r="52" customFormat="false" ht="29.25" hidden="false" customHeight="true" outlineLevel="0" collapsed="false">
      <c r="A52" s="4" t="n">
        <v>48</v>
      </c>
      <c r="B52" s="5" t="s">
        <v>185</v>
      </c>
      <c r="C52" s="4" t="s">
        <v>186</v>
      </c>
      <c r="D52" s="4" t="n">
        <v>1</v>
      </c>
      <c r="E52" s="5" t="s">
        <v>20</v>
      </c>
      <c r="F52" s="6"/>
      <c r="G52" s="7" t="n">
        <f aca="false">D52*F52</f>
        <v>0</v>
      </c>
      <c r="H52" s="5" t="s">
        <v>187</v>
      </c>
      <c r="I52" s="5" t="s">
        <v>16</v>
      </c>
      <c r="J52" s="5" t="s">
        <v>188</v>
      </c>
    </row>
    <row r="53" customFormat="false" ht="29.25" hidden="false" customHeight="true" outlineLevel="0" collapsed="false">
      <c r="A53" s="4" t="n">
        <v>49</v>
      </c>
      <c r="B53" s="5" t="s">
        <v>189</v>
      </c>
      <c r="C53" s="4"/>
      <c r="D53" s="4" t="n">
        <v>2</v>
      </c>
      <c r="E53" s="5" t="s">
        <v>20</v>
      </c>
      <c r="F53" s="6"/>
      <c r="G53" s="7" t="n">
        <f aca="false">D53*F53</f>
        <v>0</v>
      </c>
      <c r="H53" s="5" t="s">
        <v>190</v>
      </c>
      <c r="I53" s="5" t="s">
        <v>16</v>
      </c>
      <c r="J53" s="5" t="s">
        <v>191</v>
      </c>
    </row>
    <row r="54" customFormat="false" ht="29.25" hidden="false" customHeight="true" outlineLevel="0" collapsed="false">
      <c r="A54" s="4" t="n">
        <v>50</v>
      </c>
      <c r="B54" s="5" t="s">
        <v>192</v>
      </c>
      <c r="C54" s="4" t="s">
        <v>193</v>
      </c>
      <c r="D54" s="4" t="n">
        <v>1</v>
      </c>
      <c r="E54" s="5" t="s">
        <v>75</v>
      </c>
      <c r="F54" s="6"/>
      <c r="G54" s="7" t="n">
        <f aca="false">D54*F54</f>
        <v>0</v>
      </c>
      <c r="H54" s="5" t="s">
        <v>194</v>
      </c>
      <c r="I54" s="5" t="s">
        <v>16</v>
      </c>
      <c r="J54" s="5" t="s">
        <v>195</v>
      </c>
    </row>
    <row r="55" customFormat="false" ht="29.25" hidden="false" customHeight="true" outlineLevel="0" collapsed="false">
      <c r="A55" s="4" t="n">
        <v>51</v>
      </c>
      <c r="B55" s="5" t="s">
        <v>196</v>
      </c>
      <c r="C55" s="4" t="s">
        <v>197</v>
      </c>
      <c r="D55" s="4" t="n">
        <v>1</v>
      </c>
      <c r="E55" s="5" t="s">
        <v>75</v>
      </c>
      <c r="F55" s="6"/>
      <c r="G55" s="7" t="n">
        <f aca="false">D55*F55</f>
        <v>0</v>
      </c>
      <c r="H55" s="5" t="s">
        <v>198</v>
      </c>
      <c r="I55" s="5" t="s">
        <v>16</v>
      </c>
      <c r="J55" s="5" t="s">
        <v>199</v>
      </c>
    </row>
    <row r="56" customFormat="false" ht="29.25" hidden="false" customHeight="true" outlineLevel="0" collapsed="false">
      <c r="A56" s="4" t="n">
        <v>52</v>
      </c>
      <c r="B56" s="5" t="s">
        <v>200</v>
      </c>
      <c r="C56" s="4" t="s">
        <v>201</v>
      </c>
      <c r="D56" s="4" t="n">
        <v>1</v>
      </c>
      <c r="E56" s="5" t="s">
        <v>75</v>
      </c>
      <c r="F56" s="6"/>
      <c r="G56" s="7" t="n">
        <f aca="false">D56*F56</f>
        <v>0</v>
      </c>
      <c r="H56" s="5" t="s">
        <v>202</v>
      </c>
      <c r="I56" s="5" t="s">
        <v>16</v>
      </c>
      <c r="J56" s="5" t="s">
        <v>203</v>
      </c>
    </row>
    <row r="57" customFormat="false" ht="29.25" hidden="false" customHeight="true" outlineLevel="0" collapsed="false">
      <c r="A57" s="4" t="n">
        <v>53</v>
      </c>
      <c r="B57" s="5" t="s">
        <v>204</v>
      </c>
      <c r="C57" s="4" t="s">
        <v>205</v>
      </c>
      <c r="D57" s="4" t="n">
        <v>4</v>
      </c>
      <c r="E57" s="5" t="s">
        <v>206</v>
      </c>
      <c r="F57" s="6"/>
      <c r="G57" s="7" t="n">
        <f aca="false">D57*F57</f>
        <v>0</v>
      </c>
      <c r="H57" s="5" t="s">
        <v>207</v>
      </c>
      <c r="I57" s="5" t="s">
        <v>16</v>
      </c>
      <c r="J57" s="5" t="s">
        <v>208</v>
      </c>
    </row>
    <row r="58" customFormat="false" ht="29.25" hidden="false" customHeight="true" outlineLevel="0" collapsed="false">
      <c r="A58" s="4" t="n">
        <v>54</v>
      </c>
      <c r="B58" s="5" t="s">
        <v>209</v>
      </c>
      <c r="C58" s="4" t="s">
        <v>210</v>
      </c>
      <c r="D58" s="4" t="n">
        <v>1</v>
      </c>
      <c r="E58" s="5" t="s">
        <v>20</v>
      </c>
      <c r="F58" s="6"/>
      <c r="G58" s="7" t="n">
        <f aca="false">D58*F58</f>
        <v>0</v>
      </c>
      <c r="H58" s="5" t="s">
        <v>211</v>
      </c>
      <c r="I58" s="5" t="s">
        <v>212</v>
      </c>
      <c r="J58" s="5" t="s">
        <v>130</v>
      </c>
    </row>
    <row r="59" customFormat="false" ht="29.25" hidden="false" customHeight="true" outlineLevel="0" collapsed="false">
      <c r="A59" s="4" t="n">
        <v>55</v>
      </c>
      <c r="B59" s="5" t="s">
        <v>213</v>
      </c>
      <c r="C59" s="4" t="s">
        <v>214</v>
      </c>
      <c r="D59" s="4" t="n">
        <v>1</v>
      </c>
      <c r="E59" s="5" t="s">
        <v>20</v>
      </c>
      <c r="F59" s="6"/>
      <c r="G59" s="7" t="n">
        <f aca="false">D59*F59</f>
        <v>0</v>
      </c>
      <c r="H59" s="5" t="s">
        <v>215</v>
      </c>
      <c r="I59" s="5" t="s">
        <v>16</v>
      </c>
      <c r="J59" s="5" t="s">
        <v>130</v>
      </c>
    </row>
    <row r="60" customFormat="false" ht="29.25" hidden="false" customHeight="true" outlineLevel="0" collapsed="false">
      <c r="A60" s="4" t="n">
        <v>56</v>
      </c>
      <c r="B60" s="5" t="s">
        <v>216</v>
      </c>
      <c r="C60" s="8" t="s">
        <v>217</v>
      </c>
      <c r="D60" s="4" t="n">
        <v>1</v>
      </c>
      <c r="E60" s="5" t="s">
        <v>218</v>
      </c>
      <c r="F60" s="6"/>
      <c r="G60" s="7" t="n">
        <f aca="false">D60*F60</f>
        <v>0</v>
      </c>
      <c r="H60" s="5"/>
      <c r="I60" s="5" t="s">
        <v>16</v>
      </c>
      <c r="J60" s="5" t="s">
        <v>219</v>
      </c>
    </row>
    <row r="61" customFormat="false" ht="17.15" hidden="false" customHeight="false" outlineLevel="0" collapsed="false">
      <c r="B61" s="9" t="s">
        <v>220</v>
      </c>
      <c r="G61" s="10" t="n">
        <f aca="false">SUMIFS(G5:G60,I5:I60,"확정")</f>
        <v>198400</v>
      </c>
    </row>
    <row r="62" customFormat="false" ht="17.15" hidden="false" customHeight="false" outlineLevel="0" collapsed="false">
      <c r="B62" s="9" t="s">
        <v>221</v>
      </c>
      <c r="G62" s="10" t="n">
        <f aca="false">SUM(G5:G60)</f>
        <v>198400</v>
      </c>
    </row>
    <row r="63" customFormat="false" ht="15" hidden="false" customHeight="false" outlineLevel="0" collapsed="false">
      <c r="B63" s="9" t="s">
        <v>222</v>
      </c>
      <c r="G63" s="11" t="n">
        <f aca="false">COUNTBLANK(F5:F60)</f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20"/>
    <col collapsed="false" customWidth="true" hidden="false" outlineLevel="0" max="3" min="3" style="12" width="34"/>
    <col collapsed="false" customWidth="true" hidden="false" outlineLevel="0" max="4" min="4" style="12" width="6"/>
    <col collapsed="false" customWidth="true" hidden="false" outlineLevel="0" max="6" min="6" style="12" width="11"/>
    <col collapsed="false" customWidth="true" hidden="false" outlineLevel="0" max="7" min="7" style="12" width="12"/>
    <col collapsed="false" customWidth="true" hidden="false" outlineLevel="0" max="8" min="8" style="12" width="24"/>
    <col collapsed="false" customWidth="true" hidden="false" outlineLevel="0" max="9" min="9" style="12" width="10"/>
    <col collapsed="false" customWidth="true" hidden="false" outlineLevel="0" max="10" min="10" style="12" width="48"/>
  </cols>
  <sheetData>
    <row r="1" customFormat="false" ht="21" hidden="false" customHeight="true" outlineLevel="0" collapsed="false">
      <c r="A1" s="1" t="s">
        <v>223</v>
      </c>
    </row>
    <row r="2" customFormat="false" ht="15" hidden="false" customHeight="true" outlineLevel="0" collapsed="false">
      <c r="A2" s="2" t="s">
        <v>224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9.25" hidden="false" customHeight="true" outlineLevel="0" collapsed="false">
      <c r="A5" s="4" t="n">
        <v>1</v>
      </c>
      <c r="B5" s="5" t="s">
        <v>225</v>
      </c>
      <c r="C5" s="4" t="s">
        <v>226</v>
      </c>
      <c r="D5" s="4" t="n">
        <v>2</v>
      </c>
      <c r="E5" s="5" t="s">
        <v>14</v>
      </c>
      <c r="F5" s="6" t="n">
        <v>6000</v>
      </c>
      <c r="G5" s="7" t="n">
        <f aca="false">D5*F5</f>
        <v>12000</v>
      </c>
      <c r="H5" s="5" t="s">
        <v>227</v>
      </c>
      <c r="I5" s="5" t="s">
        <v>16</v>
      </c>
      <c r="J5" s="5" t="s">
        <v>228</v>
      </c>
    </row>
    <row r="6" customFormat="false" ht="15" hidden="false" customHeight="true" outlineLevel="0" collapsed="false">
      <c r="A6" s="4" t="n">
        <v>2</v>
      </c>
      <c r="B6" s="5" t="s">
        <v>64</v>
      </c>
      <c r="C6" s="4" t="s">
        <v>65</v>
      </c>
      <c r="D6" s="4" t="n">
        <v>1</v>
      </c>
      <c r="E6" s="5" t="s">
        <v>66</v>
      </c>
      <c r="F6" s="6" t="n">
        <v>3500</v>
      </c>
      <c r="G6" s="7" t="n">
        <f aca="false">D6*F6</f>
        <v>3500</v>
      </c>
      <c r="H6" s="5" t="s">
        <v>229</v>
      </c>
      <c r="I6" s="5" t="s">
        <v>16</v>
      </c>
      <c r="J6" s="5" t="s">
        <v>230</v>
      </c>
    </row>
    <row r="7" customFormat="false" ht="29.25" hidden="false" customHeight="true" outlineLevel="0" collapsed="false">
      <c r="A7" s="4" t="n">
        <v>3</v>
      </c>
      <c r="B7" s="5" t="s">
        <v>73</v>
      </c>
      <c r="C7" s="4" t="s">
        <v>74</v>
      </c>
      <c r="D7" s="4" t="n">
        <v>1</v>
      </c>
      <c r="E7" s="5" t="s">
        <v>75</v>
      </c>
      <c r="F7" s="6" t="n">
        <v>12580</v>
      </c>
      <c r="G7" s="7" t="n">
        <f aca="false">D7*F7</f>
        <v>12580</v>
      </c>
      <c r="H7" s="5" t="s">
        <v>76</v>
      </c>
      <c r="I7" s="5" t="s">
        <v>16</v>
      </c>
      <c r="J7" s="5" t="s">
        <v>231</v>
      </c>
    </row>
    <row r="8" customFormat="false" ht="29.25" hidden="false" customHeight="true" outlineLevel="0" collapsed="false">
      <c r="A8" s="4" t="n">
        <v>4</v>
      </c>
      <c r="B8" s="5" t="s">
        <v>147</v>
      </c>
      <c r="C8" s="4" t="s">
        <v>148</v>
      </c>
      <c r="D8" s="4" t="n">
        <v>1</v>
      </c>
      <c r="E8" s="5" t="s">
        <v>20</v>
      </c>
      <c r="F8" s="6" t="n">
        <v>9200</v>
      </c>
      <c r="G8" s="7" t="n">
        <f aca="false">D8*F8</f>
        <v>9200</v>
      </c>
      <c r="H8" s="5" t="s">
        <v>232</v>
      </c>
      <c r="I8" s="5" t="s">
        <v>16</v>
      </c>
      <c r="J8" s="5" t="s">
        <v>233</v>
      </c>
    </row>
    <row r="9" customFormat="false" ht="15" hidden="false" customHeight="true" outlineLevel="0" collapsed="false">
      <c r="A9" s="4" t="n">
        <v>5</v>
      </c>
      <c r="B9" s="5" t="s">
        <v>155</v>
      </c>
      <c r="C9" s="4" t="s">
        <v>156</v>
      </c>
      <c r="D9" s="4" t="n">
        <v>1</v>
      </c>
      <c r="E9" s="5" t="s">
        <v>66</v>
      </c>
      <c r="F9" s="6" t="n">
        <v>11300</v>
      </c>
      <c r="G9" s="7" t="n">
        <f aca="false">D9*F9</f>
        <v>11300</v>
      </c>
      <c r="H9" s="5" t="s">
        <v>234</v>
      </c>
      <c r="I9" s="5" t="s">
        <v>16</v>
      </c>
      <c r="J9" s="5" t="s">
        <v>235</v>
      </c>
    </row>
    <row r="10" customFormat="false" ht="15" hidden="false" customHeight="true" outlineLevel="0" collapsed="false">
      <c r="A10" s="4" t="n">
        <v>6</v>
      </c>
      <c r="B10" s="5" t="s">
        <v>151</v>
      </c>
      <c r="C10" s="4" t="s">
        <v>152</v>
      </c>
      <c r="D10" s="4" t="n">
        <v>7</v>
      </c>
      <c r="E10" s="5" t="s">
        <v>20</v>
      </c>
      <c r="F10" s="6" t="n">
        <v>90</v>
      </c>
      <c r="G10" s="7" t="n">
        <f aca="false">D10*F10</f>
        <v>630</v>
      </c>
      <c r="H10" s="5" t="s">
        <v>153</v>
      </c>
      <c r="I10" s="5" t="s">
        <v>16</v>
      </c>
      <c r="J10" s="5" t="s">
        <v>236</v>
      </c>
    </row>
    <row r="11" customFormat="false" ht="15" hidden="false" customHeight="true" outlineLevel="0" collapsed="false">
      <c r="A11" s="4" t="n">
        <v>7</v>
      </c>
      <c r="B11" s="5" t="s">
        <v>159</v>
      </c>
      <c r="C11" s="5" t="s">
        <v>160</v>
      </c>
      <c r="D11" s="4" t="n">
        <v>3</v>
      </c>
      <c r="E11" s="5" t="s">
        <v>20</v>
      </c>
      <c r="F11" s="6" t="n">
        <v>500</v>
      </c>
      <c r="G11" s="7" t="n">
        <f aca="false">D11*F11</f>
        <v>1500</v>
      </c>
      <c r="H11" s="5" t="s">
        <v>161</v>
      </c>
      <c r="I11" s="5" t="s">
        <v>16</v>
      </c>
      <c r="J11" s="5" t="s">
        <v>237</v>
      </c>
    </row>
    <row r="12" customFormat="false" ht="29.25" hidden="false" customHeight="true" outlineLevel="0" collapsed="false">
      <c r="A12" s="4" t="n">
        <v>8</v>
      </c>
      <c r="B12" s="5" t="s">
        <v>163</v>
      </c>
      <c r="C12" s="4" t="s">
        <v>164</v>
      </c>
      <c r="D12" s="4" t="n">
        <v>2</v>
      </c>
      <c r="E12" s="5" t="s">
        <v>20</v>
      </c>
      <c r="F12" s="6" t="n">
        <v>400</v>
      </c>
      <c r="G12" s="7" t="n">
        <f aca="false">D12*F12</f>
        <v>800</v>
      </c>
      <c r="H12" s="5" t="s">
        <v>238</v>
      </c>
      <c r="I12" s="5" t="s">
        <v>16</v>
      </c>
      <c r="J12" s="5" t="s">
        <v>239</v>
      </c>
    </row>
    <row r="13" customFormat="false" ht="15" hidden="false" customHeight="true" outlineLevel="0" collapsed="false">
      <c r="A13" s="4" t="n">
        <v>9</v>
      </c>
      <c r="B13" s="5" t="s">
        <v>167</v>
      </c>
      <c r="C13" s="4" t="s">
        <v>168</v>
      </c>
      <c r="D13" s="4" t="n">
        <v>1</v>
      </c>
      <c r="E13" s="5" t="s">
        <v>20</v>
      </c>
      <c r="F13" s="6" t="n">
        <v>5300</v>
      </c>
      <c r="G13" s="7" t="n">
        <f aca="false">D13*F13</f>
        <v>5300</v>
      </c>
      <c r="H13" s="5" t="s">
        <v>169</v>
      </c>
      <c r="I13" s="5" t="s">
        <v>16</v>
      </c>
      <c r="J13" s="5" t="s">
        <v>240</v>
      </c>
    </row>
    <row r="14" customFormat="false" ht="15" hidden="false" customHeight="true" outlineLevel="0" collapsed="false">
      <c r="A14" s="4" t="n">
        <v>10</v>
      </c>
      <c r="B14" s="5" t="s">
        <v>171</v>
      </c>
      <c r="C14" s="4" t="s">
        <v>172</v>
      </c>
      <c r="D14" s="4" t="n">
        <v>1</v>
      </c>
      <c r="E14" s="5" t="s">
        <v>66</v>
      </c>
      <c r="F14" s="6" t="n">
        <v>15000</v>
      </c>
      <c r="G14" s="7" t="n">
        <f aca="false">D14*F14</f>
        <v>15000</v>
      </c>
      <c r="H14" s="5" t="s">
        <v>169</v>
      </c>
      <c r="I14" s="5" t="s">
        <v>16</v>
      </c>
      <c r="J14" s="5" t="s">
        <v>241</v>
      </c>
    </row>
    <row r="15" customFormat="false" ht="15" hidden="false" customHeight="true" outlineLevel="0" collapsed="false">
      <c r="A15" s="4" t="n">
        <v>11</v>
      </c>
      <c r="B15" s="5" t="s">
        <v>143</v>
      </c>
      <c r="C15" s="4" t="s">
        <v>144</v>
      </c>
      <c r="D15" s="4" t="n">
        <v>1</v>
      </c>
      <c r="E15" s="5" t="s">
        <v>53</v>
      </c>
      <c r="F15" s="6" t="n">
        <v>9000</v>
      </c>
      <c r="G15" s="7" t="n">
        <f aca="false">D15*F15</f>
        <v>9000</v>
      </c>
      <c r="H15" s="5" t="s">
        <v>242</v>
      </c>
      <c r="I15" s="5" t="s">
        <v>16</v>
      </c>
      <c r="J15" s="5" t="s">
        <v>243</v>
      </c>
    </row>
    <row r="16" customFormat="false" ht="29.25" hidden="false" customHeight="true" outlineLevel="0" collapsed="false">
      <c r="A16" s="4" t="n">
        <v>12</v>
      </c>
      <c r="B16" s="5" t="s">
        <v>135</v>
      </c>
      <c r="C16" s="5" t="s">
        <v>244</v>
      </c>
      <c r="D16" s="4" t="n">
        <v>1</v>
      </c>
      <c r="E16" s="5" t="s">
        <v>20</v>
      </c>
      <c r="F16" s="6" t="n">
        <v>8000</v>
      </c>
      <c r="G16" s="7" t="n">
        <f aca="false">D16*F16</f>
        <v>8000</v>
      </c>
      <c r="H16" s="5" t="s">
        <v>245</v>
      </c>
      <c r="I16" s="5" t="s">
        <v>16</v>
      </c>
      <c r="J16" s="5" t="s">
        <v>246</v>
      </c>
    </row>
    <row r="17" customFormat="false" ht="15" hidden="false" customHeight="true" outlineLevel="0" collapsed="false">
      <c r="A17" s="4" t="n">
        <v>13</v>
      </c>
      <c r="B17" s="5" t="s">
        <v>117</v>
      </c>
      <c r="C17" s="4" t="s">
        <v>118</v>
      </c>
      <c r="D17" s="4" t="n">
        <v>1</v>
      </c>
      <c r="E17" s="5" t="s">
        <v>75</v>
      </c>
      <c r="F17" s="6" t="n">
        <v>4500</v>
      </c>
      <c r="G17" s="7" t="n">
        <f aca="false">D17*F17</f>
        <v>4500</v>
      </c>
      <c r="H17" s="5" t="s">
        <v>247</v>
      </c>
      <c r="I17" s="5" t="s">
        <v>16</v>
      </c>
      <c r="J17" s="5" t="s">
        <v>248</v>
      </c>
    </row>
    <row r="18" customFormat="false" ht="15" hidden="false" customHeight="true" outlineLevel="0" collapsed="false">
      <c r="A18" s="4" t="n">
        <v>14</v>
      </c>
      <c r="B18" s="5" t="s">
        <v>249</v>
      </c>
      <c r="C18" s="4" t="s">
        <v>250</v>
      </c>
      <c r="D18" s="4" t="n">
        <v>1</v>
      </c>
      <c r="E18" s="5" t="s">
        <v>66</v>
      </c>
      <c r="F18" s="6" t="n">
        <v>350</v>
      </c>
      <c r="G18" s="7" t="n">
        <f aca="false">D18*F18</f>
        <v>350</v>
      </c>
      <c r="H18" s="5" t="s">
        <v>251</v>
      </c>
      <c r="I18" s="5" t="s">
        <v>16</v>
      </c>
      <c r="J18" s="5" t="s">
        <v>252</v>
      </c>
    </row>
    <row r="19" customFormat="false" ht="29.25" hidden="false" customHeight="true" outlineLevel="0" collapsed="false">
      <c r="A19" s="4" t="n">
        <v>15</v>
      </c>
      <c r="B19" s="5" t="s">
        <v>139</v>
      </c>
      <c r="C19" s="4" t="s">
        <v>140</v>
      </c>
      <c r="D19" s="4" t="n">
        <v>1</v>
      </c>
      <c r="E19" s="5" t="s">
        <v>53</v>
      </c>
      <c r="F19" s="6" t="n">
        <v>9600</v>
      </c>
      <c r="G19" s="7" t="n">
        <f aca="false">D19*F19</f>
        <v>9600</v>
      </c>
      <c r="H19" s="5" t="s">
        <v>253</v>
      </c>
      <c r="I19" s="5" t="s">
        <v>16</v>
      </c>
      <c r="J19" s="5" t="s">
        <v>254</v>
      </c>
    </row>
    <row r="20" customFormat="false" ht="29.25" hidden="false" customHeight="true" outlineLevel="0" collapsed="false">
      <c r="A20" s="4" t="n">
        <v>16</v>
      </c>
      <c r="B20" s="5" t="s">
        <v>23</v>
      </c>
      <c r="C20" s="4" t="s">
        <v>255</v>
      </c>
      <c r="D20" s="4" t="n">
        <v>1</v>
      </c>
      <c r="E20" s="5" t="s">
        <v>20</v>
      </c>
      <c r="F20" s="6" t="n">
        <v>16000</v>
      </c>
      <c r="G20" s="7" t="n">
        <f aca="false">D20*F20</f>
        <v>16000</v>
      </c>
      <c r="H20" s="5" t="s">
        <v>256</v>
      </c>
      <c r="I20" s="5" t="s">
        <v>16</v>
      </c>
      <c r="J20" s="5" t="s">
        <v>257</v>
      </c>
    </row>
    <row r="21" customFormat="false" ht="15" hidden="false" customHeight="true" outlineLevel="0" collapsed="false">
      <c r="A21" s="4" t="n">
        <v>17</v>
      </c>
      <c r="B21" s="5" t="s">
        <v>31</v>
      </c>
      <c r="C21" s="4" t="s">
        <v>258</v>
      </c>
      <c r="D21" s="4" t="n">
        <v>3</v>
      </c>
      <c r="E21" s="5" t="s">
        <v>20</v>
      </c>
      <c r="F21" s="6"/>
      <c r="G21" s="7" t="n">
        <f aca="false">D21*F21</f>
        <v>0</v>
      </c>
      <c r="H21" s="5" t="s">
        <v>33</v>
      </c>
      <c r="I21" s="5" t="s">
        <v>16</v>
      </c>
      <c r="J21" s="5" t="s">
        <v>259</v>
      </c>
    </row>
    <row r="22" customFormat="false" ht="15" hidden="false" customHeight="true" outlineLevel="0" collapsed="false">
      <c r="A22" s="4" t="n">
        <v>18</v>
      </c>
      <c r="B22" s="5" t="s">
        <v>60</v>
      </c>
      <c r="C22" s="5" t="s">
        <v>260</v>
      </c>
      <c r="D22" s="4" t="n">
        <v>3</v>
      </c>
      <c r="E22" s="5" t="s">
        <v>20</v>
      </c>
      <c r="F22" s="6" t="n">
        <v>990</v>
      </c>
      <c r="G22" s="7" t="n">
        <f aca="false">D22*F22</f>
        <v>2970</v>
      </c>
      <c r="H22" s="5" t="s">
        <v>62</v>
      </c>
      <c r="I22" s="5" t="s">
        <v>16</v>
      </c>
      <c r="J22" s="5" t="s">
        <v>261</v>
      </c>
    </row>
    <row r="23" customFormat="false" ht="29.25" hidden="false" customHeight="true" outlineLevel="0" collapsed="false">
      <c r="A23" s="4" t="n">
        <v>19</v>
      </c>
      <c r="B23" s="5" t="s">
        <v>56</v>
      </c>
      <c r="C23" s="5" t="s">
        <v>262</v>
      </c>
      <c r="D23" s="4" t="n">
        <v>1</v>
      </c>
      <c r="E23" s="5" t="s">
        <v>20</v>
      </c>
      <c r="F23" s="6" t="n">
        <v>8360</v>
      </c>
      <c r="G23" s="7" t="n">
        <f aca="false">D23*F23</f>
        <v>8360</v>
      </c>
      <c r="H23" s="5" t="s">
        <v>263</v>
      </c>
      <c r="I23" s="5" t="s">
        <v>16</v>
      </c>
      <c r="J23" s="5" t="s">
        <v>264</v>
      </c>
    </row>
    <row r="24" customFormat="false" ht="29.25" hidden="false" customHeight="true" outlineLevel="0" collapsed="false">
      <c r="A24" s="4" t="n">
        <v>20</v>
      </c>
      <c r="B24" s="5" t="s">
        <v>265</v>
      </c>
      <c r="C24" s="4" t="s">
        <v>102</v>
      </c>
      <c r="D24" s="4" t="n">
        <v>20</v>
      </c>
      <c r="E24" s="5" t="s">
        <v>75</v>
      </c>
      <c r="F24" s="6"/>
      <c r="G24" s="7" t="n">
        <f aca="false">D24*F24</f>
        <v>0</v>
      </c>
      <c r="H24" s="5" t="s">
        <v>266</v>
      </c>
      <c r="I24" s="5" t="s">
        <v>16</v>
      </c>
      <c r="J24" s="5" t="s">
        <v>81</v>
      </c>
    </row>
    <row r="25" customFormat="false" ht="29.25" hidden="false" customHeight="true" outlineLevel="0" collapsed="false">
      <c r="A25" s="4" t="n">
        <v>21</v>
      </c>
      <c r="B25" s="5" t="s">
        <v>267</v>
      </c>
      <c r="C25" s="4" t="s">
        <v>268</v>
      </c>
      <c r="D25" s="4" t="n">
        <v>29</v>
      </c>
      <c r="E25" s="5" t="s">
        <v>20</v>
      </c>
      <c r="F25" s="6"/>
      <c r="G25" s="7" t="n">
        <f aca="false">D25*F25</f>
        <v>0</v>
      </c>
      <c r="H25" s="5" t="s">
        <v>269</v>
      </c>
      <c r="I25" s="5" t="s">
        <v>16</v>
      </c>
      <c r="J25" s="5" t="s">
        <v>270</v>
      </c>
    </row>
    <row r="26" customFormat="false" ht="15" hidden="false" customHeight="true" outlineLevel="0" collapsed="false">
      <c r="A26" s="4" t="n">
        <v>22</v>
      </c>
      <c r="B26" s="5" t="s">
        <v>121</v>
      </c>
      <c r="C26" s="4" t="s">
        <v>122</v>
      </c>
      <c r="D26" s="4" t="n">
        <v>8</v>
      </c>
      <c r="E26" s="5" t="s">
        <v>20</v>
      </c>
      <c r="F26" s="6"/>
      <c r="G26" s="7" t="n">
        <f aca="false">D26*F26</f>
        <v>0</v>
      </c>
      <c r="H26" s="5" t="s">
        <v>271</v>
      </c>
      <c r="I26" s="5" t="s">
        <v>16</v>
      </c>
      <c r="J26" s="5" t="s">
        <v>81</v>
      </c>
    </row>
    <row r="27" customFormat="false" ht="29.25" hidden="false" customHeight="true" outlineLevel="0" collapsed="false">
      <c r="A27" s="4" t="n">
        <v>23</v>
      </c>
      <c r="B27" s="5" t="s">
        <v>124</v>
      </c>
      <c r="C27" s="4" t="s">
        <v>125</v>
      </c>
      <c r="D27" s="4" t="n">
        <v>1</v>
      </c>
      <c r="E27" s="5" t="s">
        <v>20</v>
      </c>
      <c r="F27" s="6"/>
      <c r="G27" s="7" t="n">
        <f aca="false">D27*F27</f>
        <v>0</v>
      </c>
      <c r="H27" s="5" t="s">
        <v>272</v>
      </c>
      <c r="I27" s="5" t="s">
        <v>16</v>
      </c>
      <c r="J27" s="5" t="s">
        <v>81</v>
      </c>
    </row>
    <row r="28" customFormat="false" ht="15" hidden="false" customHeight="true" outlineLevel="0" collapsed="false">
      <c r="A28" s="4" t="n">
        <v>24</v>
      </c>
      <c r="B28" s="5" t="s">
        <v>204</v>
      </c>
      <c r="C28" s="4" t="s">
        <v>273</v>
      </c>
      <c r="D28" s="4" t="n">
        <v>3</v>
      </c>
      <c r="E28" s="5" t="s">
        <v>274</v>
      </c>
      <c r="F28" s="6"/>
      <c r="G28" s="7" t="n">
        <f aca="false">D28*F28</f>
        <v>0</v>
      </c>
      <c r="H28" s="5" t="s">
        <v>275</v>
      </c>
      <c r="I28" s="5" t="s">
        <v>16</v>
      </c>
      <c r="J28" s="5" t="s">
        <v>276</v>
      </c>
    </row>
    <row r="29" customFormat="false" ht="15" hidden="false" customHeight="true" outlineLevel="0" collapsed="false">
      <c r="A29" s="4" t="n">
        <v>25</v>
      </c>
      <c r="B29" s="5" t="s">
        <v>216</v>
      </c>
      <c r="C29" s="5" t="s">
        <v>277</v>
      </c>
      <c r="D29" s="4" t="n">
        <v>1</v>
      </c>
      <c r="E29" s="5" t="s">
        <v>218</v>
      </c>
      <c r="F29" s="6" t="n">
        <v>22900</v>
      </c>
      <c r="G29" s="7" t="n">
        <f aca="false">D29*F29</f>
        <v>22900</v>
      </c>
      <c r="H29" s="5"/>
      <c r="I29" s="5" t="s">
        <v>16</v>
      </c>
      <c r="J29" s="5" t="s">
        <v>278</v>
      </c>
    </row>
    <row r="30" customFormat="false" ht="29.25" hidden="false" customHeight="true" outlineLevel="0" collapsed="false">
      <c r="A30" s="13" t="n">
        <v>26</v>
      </c>
      <c r="B30" s="14" t="s">
        <v>279</v>
      </c>
      <c r="C30" s="14" t="s">
        <v>280</v>
      </c>
      <c r="D30" s="13" t="n">
        <v>1</v>
      </c>
      <c r="E30" s="14" t="s">
        <v>218</v>
      </c>
      <c r="F30" s="6"/>
      <c r="G30" s="15" t="n">
        <f aca="false">D30*F30</f>
        <v>0</v>
      </c>
      <c r="H30" s="14" t="s">
        <v>281</v>
      </c>
      <c r="I30" s="14" t="s">
        <v>282</v>
      </c>
      <c r="J30" s="14" t="s">
        <v>283</v>
      </c>
    </row>
    <row r="31" customFormat="false" ht="15" hidden="false" customHeight="true" outlineLevel="0" collapsed="false">
      <c r="A31" s="13" t="n">
        <v>27</v>
      </c>
      <c r="B31" s="14" t="s">
        <v>56</v>
      </c>
      <c r="C31" s="14" t="s">
        <v>262</v>
      </c>
      <c r="D31" s="13" t="n">
        <v>3</v>
      </c>
      <c r="E31" s="14" t="s">
        <v>20</v>
      </c>
      <c r="F31" s="6" t="n">
        <v>8360</v>
      </c>
      <c r="G31" s="15" t="n">
        <f aca="false">D31*F31</f>
        <v>25080</v>
      </c>
      <c r="H31" s="14" t="s">
        <v>284</v>
      </c>
      <c r="I31" s="14" t="s">
        <v>282</v>
      </c>
      <c r="J31" s="14" t="s">
        <v>285</v>
      </c>
    </row>
    <row r="32" customFormat="false" ht="15" hidden="false" customHeight="true" outlineLevel="0" collapsed="false">
      <c r="A32" s="13" t="n">
        <v>28</v>
      </c>
      <c r="B32" s="14" t="s">
        <v>286</v>
      </c>
      <c r="C32" s="14" t="s">
        <v>287</v>
      </c>
      <c r="D32" s="13" t="n">
        <v>1</v>
      </c>
      <c r="E32" s="14" t="s">
        <v>53</v>
      </c>
      <c r="F32" s="6"/>
      <c r="G32" s="15" t="n">
        <f aca="false">D32*F32</f>
        <v>0</v>
      </c>
      <c r="H32" s="14" t="s">
        <v>288</v>
      </c>
      <c r="I32" s="14" t="s">
        <v>282</v>
      </c>
      <c r="J32" s="14"/>
    </row>
    <row r="33" customFormat="false" ht="15" hidden="false" customHeight="true" outlineLevel="0" collapsed="false">
      <c r="A33" s="13" t="n">
        <v>29</v>
      </c>
      <c r="B33" s="14" t="s">
        <v>289</v>
      </c>
      <c r="C33" s="14" t="s">
        <v>131</v>
      </c>
      <c r="D33" s="13" t="n">
        <v>1</v>
      </c>
      <c r="E33" s="14" t="s">
        <v>75</v>
      </c>
      <c r="F33" s="6"/>
      <c r="G33" s="15" t="n">
        <f aca="false">D33*F33</f>
        <v>0</v>
      </c>
      <c r="H33" s="14" t="s">
        <v>290</v>
      </c>
      <c r="I33" s="14" t="s">
        <v>282</v>
      </c>
      <c r="J33" s="14"/>
    </row>
    <row r="34" customFormat="false" ht="29.25" hidden="false" customHeight="true" outlineLevel="0" collapsed="false">
      <c r="A34" s="13" t="n">
        <v>30</v>
      </c>
      <c r="B34" s="14" t="s">
        <v>291</v>
      </c>
      <c r="C34" s="14" t="s">
        <v>292</v>
      </c>
      <c r="D34" s="13" t="n">
        <v>1</v>
      </c>
      <c r="E34" s="14" t="s">
        <v>75</v>
      </c>
      <c r="F34" s="6"/>
      <c r="G34" s="15" t="n">
        <f aca="false">D34*F34</f>
        <v>0</v>
      </c>
      <c r="H34" s="14" t="s">
        <v>293</v>
      </c>
      <c r="I34" s="14" t="s">
        <v>282</v>
      </c>
      <c r="J34" s="14" t="s">
        <v>294</v>
      </c>
    </row>
    <row r="35" customFormat="false" ht="15" hidden="false" customHeight="true" outlineLevel="0" collapsed="false">
      <c r="A35" s="13" t="n">
        <v>31</v>
      </c>
      <c r="B35" s="14" t="s">
        <v>182</v>
      </c>
      <c r="C35" s="14" t="s">
        <v>295</v>
      </c>
      <c r="D35" s="13" t="n">
        <v>1</v>
      </c>
      <c r="E35" s="14" t="s">
        <v>20</v>
      </c>
      <c r="F35" s="6"/>
      <c r="G35" s="15" t="n">
        <f aca="false">D35*F35</f>
        <v>0</v>
      </c>
      <c r="H35" s="14" t="s">
        <v>296</v>
      </c>
      <c r="I35" s="14" t="s">
        <v>282</v>
      </c>
      <c r="J35" s="14"/>
    </row>
    <row r="36" customFormat="false" ht="16.5" hidden="false" customHeight="true" outlineLevel="0" collapsed="false">
      <c r="B36" s="9" t="s">
        <v>220</v>
      </c>
      <c r="G36" s="10" t="n">
        <f aca="false">SUMIFS(G5:G35,I5:I35,"확정")</f>
        <v>153490</v>
      </c>
    </row>
    <row r="37" customFormat="false" ht="16.5" hidden="false" customHeight="true" outlineLevel="0" collapsed="false">
      <c r="B37" s="9" t="s">
        <v>297</v>
      </c>
      <c r="G37" s="10" t="n">
        <f aca="false">SUM(G5:G35)</f>
        <v>178570</v>
      </c>
    </row>
    <row r="38" customFormat="false" ht="15" hidden="false" customHeight="true" outlineLevel="0" collapsed="false">
      <c r="B38" s="9" t="s">
        <v>222</v>
      </c>
      <c r="G38" s="11" t="n">
        <f aca="false">COUNTBLANK(F5:F35)</f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2" width="6"/>
    <col collapsed="false" customWidth="true" hidden="false" outlineLevel="0" max="2" min="2" style="12" width="20"/>
    <col collapsed="false" customWidth="true" hidden="false" outlineLevel="0" max="3" min="3" style="12" width="30"/>
    <col collapsed="false" customWidth="true" hidden="false" outlineLevel="0" max="5" min="4" style="12" width="6"/>
    <col collapsed="false" customWidth="true" hidden="false" outlineLevel="0" max="6" min="6" style="12" width="11"/>
    <col collapsed="false" customWidth="true" hidden="false" outlineLevel="0" max="7" min="7" style="12" width="12"/>
    <col collapsed="false" customWidth="true" hidden="false" outlineLevel="0" max="8" min="8" style="12" width="24"/>
    <col collapsed="false" customWidth="true" hidden="false" outlineLevel="0" max="9" min="9" style="12" width="10"/>
    <col collapsed="false" customWidth="true" hidden="false" outlineLevel="0" max="10" min="10" style="12" width="34"/>
  </cols>
  <sheetData>
    <row r="1" customFormat="false" ht="21" hidden="false" customHeight="true" outlineLevel="0" collapsed="false">
      <c r="A1" s="1" t="s">
        <v>298</v>
      </c>
    </row>
    <row r="2" customFormat="false" ht="15" hidden="false" customHeight="true" outlineLevel="0" collapsed="false">
      <c r="A2" s="2" t="s">
        <v>299</v>
      </c>
    </row>
    <row r="4" customFormat="false" ht="16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true" outlineLevel="0" collapsed="false">
      <c r="A5" s="4" t="n">
        <v>1</v>
      </c>
      <c r="B5" s="5" t="s">
        <v>23</v>
      </c>
      <c r="C5" s="4" t="s">
        <v>300</v>
      </c>
      <c r="D5" s="4" t="n">
        <v>2</v>
      </c>
      <c r="E5" s="5" t="s">
        <v>20</v>
      </c>
      <c r="F5" s="6"/>
      <c r="G5" s="7" t="n">
        <f aca="false">D5*F5</f>
        <v>0</v>
      </c>
      <c r="H5" s="5" t="s">
        <v>301</v>
      </c>
      <c r="I5" s="5" t="s">
        <v>16</v>
      </c>
      <c r="J5" s="5" t="s">
        <v>302</v>
      </c>
    </row>
    <row r="6" customFormat="false" ht="15" hidden="false" customHeight="true" outlineLevel="0" collapsed="false">
      <c r="A6" s="4" t="n">
        <v>2</v>
      </c>
      <c r="B6" s="5" t="s">
        <v>23</v>
      </c>
      <c r="C6" s="4" t="s">
        <v>303</v>
      </c>
      <c r="D6" s="4" t="n">
        <v>1</v>
      </c>
      <c r="E6" s="5" t="s">
        <v>20</v>
      </c>
      <c r="F6" s="6"/>
      <c r="G6" s="7" t="n">
        <f aca="false">D6*F6</f>
        <v>0</v>
      </c>
      <c r="H6" s="5" t="s">
        <v>29</v>
      </c>
      <c r="I6" s="5" t="s">
        <v>16</v>
      </c>
      <c r="J6" s="5" t="s">
        <v>304</v>
      </c>
    </row>
    <row r="7" customFormat="false" ht="15" hidden="false" customHeight="true" outlineLevel="0" collapsed="false">
      <c r="A7" s="4" t="n">
        <v>3</v>
      </c>
      <c r="B7" s="5" t="s">
        <v>23</v>
      </c>
      <c r="C7" s="4" t="s">
        <v>305</v>
      </c>
      <c r="D7" s="4" t="n">
        <v>2</v>
      </c>
      <c r="E7" s="5" t="s">
        <v>20</v>
      </c>
      <c r="F7" s="6"/>
      <c r="G7" s="7" t="n">
        <f aca="false">D7*F7</f>
        <v>0</v>
      </c>
      <c r="H7" s="5" t="s">
        <v>251</v>
      </c>
      <c r="I7" s="5" t="s">
        <v>16</v>
      </c>
      <c r="J7" s="5" t="s">
        <v>304</v>
      </c>
    </row>
    <row r="8" customFormat="false" ht="15" hidden="false" customHeight="true" outlineLevel="0" collapsed="false">
      <c r="A8" s="4" t="n">
        <v>4</v>
      </c>
      <c r="B8" s="5" t="s">
        <v>306</v>
      </c>
      <c r="C8" s="4" t="s">
        <v>307</v>
      </c>
      <c r="D8" s="4" t="n">
        <v>6</v>
      </c>
      <c r="E8" s="5" t="s">
        <v>20</v>
      </c>
      <c r="F8" s="6"/>
      <c r="G8" s="7" t="n">
        <f aca="false">D8*F8</f>
        <v>0</v>
      </c>
      <c r="H8" s="5" t="s">
        <v>308</v>
      </c>
      <c r="I8" s="5" t="s">
        <v>16</v>
      </c>
      <c r="J8" s="4"/>
    </row>
    <row r="9" customFormat="false" ht="15" hidden="false" customHeight="true" outlineLevel="0" collapsed="false">
      <c r="A9" s="4" t="n">
        <v>5</v>
      </c>
      <c r="B9" s="5" t="s">
        <v>31</v>
      </c>
      <c r="C9" s="4" t="s">
        <v>309</v>
      </c>
      <c r="D9" s="4" t="n">
        <v>3</v>
      </c>
      <c r="E9" s="5" t="s">
        <v>20</v>
      </c>
      <c r="F9" s="6"/>
      <c r="G9" s="7" t="n">
        <f aca="false">D9*F9</f>
        <v>0</v>
      </c>
      <c r="H9" s="5" t="s">
        <v>33</v>
      </c>
      <c r="I9" s="5" t="s">
        <v>16</v>
      </c>
      <c r="J9" s="5" t="s">
        <v>304</v>
      </c>
    </row>
    <row r="10" customFormat="false" ht="15" hidden="false" customHeight="true" outlineLevel="0" collapsed="false">
      <c r="A10" s="4" t="n">
        <v>6</v>
      </c>
      <c r="B10" s="5" t="s">
        <v>64</v>
      </c>
      <c r="C10" s="4" t="s">
        <v>310</v>
      </c>
      <c r="D10" s="4" t="n">
        <v>3</v>
      </c>
      <c r="E10" s="5" t="s">
        <v>20</v>
      </c>
      <c r="F10" s="6"/>
      <c r="G10" s="7" t="n">
        <f aca="false">D10*F10</f>
        <v>0</v>
      </c>
      <c r="H10" s="5" t="s">
        <v>311</v>
      </c>
      <c r="I10" s="5" t="s">
        <v>16</v>
      </c>
      <c r="J10" s="5" t="s">
        <v>312</v>
      </c>
    </row>
    <row r="11" customFormat="false" ht="29.25" hidden="false" customHeight="true" outlineLevel="0" collapsed="false">
      <c r="A11" s="4" t="n">
        <v>7</v>
      </c>
      <c r="B11" s="5" t="s">
        <v>313</v>
      </c>
      <c r="C11" s="5" t="s">
        <v>314</v>
      </c>
      <c r="D11" s="4" t="n">
        <v>3</v>
      </c>
      <c r="E11" s="5" t="s">
        <v>20</v>
      </c>
      <c r="F11" s="6"/>
      <c r="G11" s="7" t="n">
        <f aca="false">D11*F11</f>
        <v>0</v>
      </c>
      <c r="H11" s="5" t="s">
        <v>315</v>
      </c>
      <c r="I11" s="5" t="s">
        <v>16</v>
      </c>
      <c r="J11" s="5" t="s">
        <v>312</v>
      </c>
    </row>
    <row r="12" customFormat="false" ht="15" hidden="false" customHeight="true" outlineLevel="0" collapsed="false">
      <c r="A12" s="4" t="n">
        <v>8</v>
      </c>
      <c r="B12" s="5" t="s">
        <v>316</v>
      </c>
      <c r="C12" s="4" t="s">
        <v>317</v>
      </c>
      <c r="D12" s="4" t="n">
        <v>1</v>
      </c>
      <c r="E12" s="5" t="s">
        <v>75</v>
      </c>
      <c r="F12" s="6"/>
      <c r="G12" s="7" t="n">
        <f aca="false">D12*F12</f>
        <v>0</v>
      </c>
      <c r="H12" s="5" t="s">
        <v>318</v>
      </c>
      <c r="I12" s="5" t="s">
        <v>16</v>
      </c>
      <c r="J12" s="4"/>
    </row>
    <row r="13" customFormat="false" ht="15" hidden="false" customHeight="true" outlineLevel="0" collapsed="false">
      <c r="A13" s="4" t="n">
        <v>9</v>
      </c>
      <c r="B13" s="5" t="s">
        <v>319</v>
      </c>
      <c r="C13" s="4" t="s">
        <v>320</v>
      </c>
      <c r="D13" s="4" t="n">
        <v>2</v>
      </c>
      <c r="E13" s="5" t="s">
        <v>20</v>
      </c>
      <c r="F13" s="6"/>
      <c r="G13" s="7" t="n">
        <f aca="false">D13*F13</f>
        <v>0</v>
      </c>
      <c r="H13" s="5" t="s">
        <v>251</v>
      </c>
      <c r="I13" s="5" t="s">
        <v>16</v>
      </c>
      <c r="J13" s="4"/>
    </row>
    <row r="14" customFormat="false" ht="15" hidden="false" customHeight="true" outlineLevel="0" collapsed="false">
      <c r="A14" s="4" t="n">
        <v>10</v>
      </c>
      <c r="B14" s="4" t="s">
        <v>321</v>
      </c>
      <c r="C14" s="4" t="s">
        <v>322</v>
      </c>
      <c r="D14" s="4" t="n">
        <v>1</v>
      </c>
      <c r="E14" s="5" t="s">
        <v>53</v>
      </c>
      <c r="F14" s="6"/>
      <c r="G14" s="7" t="n">
        <f aca="false">D14*F14</f>
        <v>0</v>
      </c>
      <c r="H14" s="5" t="s">
        <v>323</v>
      </c>
      <c r="I14" s="5" t="s">
        <v>16</v>
      </c>
      <c r="J14" s="5" t="s">
        <v>324</v>
      </c>
    </row>
    <row r="15" customFormat="false" ht="15" hidden="false" customHeight="true" outlineLevel="0" collapsed="false">
      <c r="A15" s="13" t="n">
        <v>11</v>
      </c>
      <c r="B15" s="14" t="s">
        <v>325</v>
      </c>
      <c r="C15" s="14" t="s">
        <v>326</v>
      </c>
      <c r="D15" s="13" t="n">
        <v>1</v>
      </c>
      <c r="E15" s="14" t="s">
        <v>20</v>
      </c>
      <c r="F15" s="6"/>
      <c r="G15" s="15" t="n">
        <f aca="false">D15*F15</f>
        <v>0</v>
      </c>
      <c r="H15" s="14" t="s">
        <v>327</v>
      </c>
      <c r="I15" s="14" t="s">
        <v>282</v>
      </c>
      <c r="J15" s="14" t="s">
        <v>328</v>
      </c>
    </row>
    <row r="16" customFormat="false" ht="15" hidden="false" customHeight="true" outlineLevel="0" collapsed="false">
      <c r="A16" s="13" t="n">
        <v>12</v>
      </c>
      <c r="B16" s="14" t="s">
        <v>329</v>
      </c>
      <c r="C16" s="14" t="s">
        <v>330</v>
      </c>
      <c r="D16" s="13" t="n">
        <v>1</v>
      </c>
      <c r="E16" s="14" t="s">
        <v>218</v>
      </c>
      <c r="F16" s="6"/>
      <c r="G16" s="15" t="n">
        <f aca="false">D16*F16</f>
        <v>0</v>
      </c>
      <c r="H16" s="13" t="s">
        <v>331</v>
      </c>
      <c r="I16" s="14" t="s">
        <v>282</v>
      </c>
      <c r="J16" s="14" t="s">
        <v>332</v>
      </c>
    </row>
    <row r="17" customFormat="false" ht="15" hidden="false" customHeight="true" outlineLevel="0" collapsed="false">
      <c r="A17" s="4" t="n">
        <v>13</v>
      </c>
      <c r="B17" s="4" t="s">
        <v>333</v>
      </c>
      <c r="C17" s="4" t="s">
        <v>273</v>
      </c>
      <c r="D17" s="4" t="n">
        <v>1</v>
      </c>
      <c r="E17" s="5" t="s">
        <v>206</v>
      </c>
      <c r="F17" s="15" t="n">
        <v>0</v>
      </c>
      <c r="G17" s="7" t="n">
        <f aca="false">D17*F17</f>
        <v>0</v>
      </c>
      <c r="H17" s="5" t="s">
        <v>334</v>
      </c>
      <c r="I17" s="5" t="s">
        <v>335</v>
      </c>
      <c r="J17" s="5" t="s">
        <v>336</v>
      </c>
    </row>
    <row r="18" customFormat="false" ht="16.5" hidden="false" customHeight="true" outlineLevel="0" collapsed="false">
      <c r="A18" s="4" t="n">
        <v>14</v>
      </c>
      <c r="B18" s="5" t="s">
        <v>337</v>
      </c>
      <c r="C18" s="4" t="s">
        <v>338</v>
      </c>
      <c r="D18" s="4" t="n">
        <v>1</v>
      </c>
      <c r="E18" s="5" t="s">
        <v>20</v>
      </c>
      <c r="F18" s="6"/>
      <c r="G18" s="7" t="n">
        <f aca="false">D18*F18</f>
        <v>0</v>
      </c>
      <c r="H18" s="5" t="s">
        <v>232</v>
      </c>
      <c r="I18" s="5" t="s">
        <v>16</v>
      </c>
      <c r="J18" s="5" t="s">
        <v>339</v>
      </c>
    </row>
    <row r="19" customFormat="false" ht="16.5" hidden="false" customHeight="true" outlineLevel="0" collapsed="false">
      <c r="A19" s="4" t="n">
        <v>15</v>
      </c>
      <c r="B19" s="5" t="s">
        <v>340</v>
      </c>
      <c r="C19" s="4" t="s">
        <v>341</v>
      </c>
      <c r="D19" s="4" t="n">
        <v>7</v>
      </c>
      <c r="E19" s="5" t="s">
        <v>20</v>
      </c>
      <c r="F19" s="6"/>
      <c r="G19" s="7" t="n">
        <f aca="false">D19*F19</f>
        <v>0</v>
      </c>
      <c r="H19" s="5" t="s">
        <v>342</v>
      </c>
      <c r="I19" s="5" t="s">
        <v>16</v>
      </c>
      <c r="J19" s="5"/>
    </row>
    <row r="20" customFormat="false" ht="15" hidden="false" customHeight="true" outlineLevel="0" collapsed="false">
      <c r="A20" s="4" t="n">
        <v>16</v>
      </c>
      <c r="B20" s="5" t="s">
        <v>155</v>
      </c>
      <c r="C20" s="4" t="s">
        <v>343</v>
      </c>
      <c r="D20" s="4" t="n">
        <v>7</v>
      </c>
      <c r="E20" s="5" t="s">
        <v>20</v>
      </c>
      <c r="F20" s="6"/>
      <c r="G20" s="7" t="n">
        <f aca="false">D20*F20</f>
        <v>0</v>
      </c>
      <c r="H20" s="5" t="s">
        <v>344</v>
      </c>
      <c r="I20" s="5" t="s">
        <v>16</v>
      </c>
      <c r="J20" s="5" t="s">
        <v>312</v>
      </c>
    </row>
    <row r="21" customFormat="false" ht="15" hidden="false" customHeight="true" outlineLevel="0" collapsed="false">
      <c r="A21" s="4" t="n">
        <v>17</v>
      </c>
      <c r="B21" s="5" t="s">
        <v>345</v>
      </c>
      <c r="C21" s="4" t="s">
        <v>346</v>
      </c>
      <c r="D21" s="4" t="n">
        <v>3</v>
      </c>
      <c r="E21" s="5" t="s">
        <v>20</v>
      </c>
      <c r="F21" s="6"/>
      <c r="G21" s="7" t="n">
        <f aca="false">D21*F21</f>
        <v>0</v>
      </c>
      <c r="H21" s="5" t="s">
        <v>347</v>
      </c>
      <c r="I21" s="5" t="s">
        <v>16</v>
      </c>
      <c r="J21" s="5"/>
    </row>
    <row r="22" customFormat="false" ht="15" hidden="false" customHeight="true" outlineLevel="0" collapsed="false">
      <c r="A22" s="4" t="n">
        <v>18</v>
      </c>
      <c r="B22" s="5" t="s">
        <v>348</v>
      </c>
      <c r="C22" s="5" t="s">
        <v>349</v>
      </c>
      <c r="D22" s="4" t="n">
        <v>1</v>
      </c>
      <c r="E22" s="5" t="s">
        <v>75</v>
      </c>
      <c r="F22" s="6"/>
      <c r="G22" s="7" t="n">
        <f aca="false">D22*F22</f>
        <v>0</v>
      </c>
      <c r="H22" s="5" t="s">
        <v>169</v>
      </c>
      <c r="I22" s="5" t="s">
        <v>16</v>
      </c>
      <c r="J22" s="5"/>
    </row>
    <row r="23" customFormat="false" ht="29.25" hidden="false" customHeight="true" outlineLevel="0" collapsed="false">
      <c r="A23" s="4" t="n">
        <v>19</v>
      </c>
      <c r="B23" s="5" t="s">
        <v>350</v>
      </c>
      <c r="C23" s="5" t="s">
        <v>351</v>
      </c>
      <c r="D23" s="4" t="n">
        <v>1</v>
      </c>
      <c r="E23" s="5" t="s">
        <v>20</v>
      </c>
      <c r="F23" s="6"/>
      <c r="G23" s="7" t="n">
        <f aca="false">D23*F23</f>
        <v>0</v>
      </c>
      <c r="H23" s="5" t="s">
        <v>352</v>
      </c>
      <c r="I23" s="5" t="s">
        <v>16</v>
      </c>
      <c r="J23" s="5" t="s">
        <v>353</v>
      </c>
    </row>
    <row r="24" customFormat="false" ht="15" hidden="false" customHeight="true" outlineLevel="0" collapsed="false">
      <c r="A24" s="13" t="n">
        <v>20</v>
      </c>
      <c r="B24" s="14" t="s">
        <v>354</v>
      </c>
      <c r="C24" s="14" t="s">
        <v>355</v>
      </c>
      <c r="D24" s="13" t="n">
        <v>1</v>
      </c>
      <c r="E24" s="14" t="s">
        <v>218</v>
      </c>
      <c r="F24" s="6"/>
      <c r="G24" s="15" t="n">
        <f aca="false">D24*F24</f>
        <v>0</v>
      </c>
      <c r="H24" s="14" t="s">
        <v>356</v>
      </c>
      <c r="I24" s="14" t="s">
        <v>282</v>
      </c>
      <c r="J24" s="14" t="s">
        <v>357</v>
      </c>
    </row>
    <row r="25" customFormat="false" ht="15" hidden="false" customHeight="true" outlineLevel="0" collapsed="false">
      <c r="A25" s="13" t="n">
        <v>21</v>
      </c>
      <c r="B25" s="14" t="s">
        <v>182</v>
      </c>
      <c r="C25" s="14" t="s">
        <v>358</v>
      </c>
      <c r="D25" s="13" t="n">
        <v>1</v>
      </c>
      <c r="E25" s="14" t="s">
        <v>20</v>
      </c>
      <c r="F25" s="6"/>
      <c r="G25" s="15" t="n">
        <f aca="false">D25*F25</f>
        <v>0</v>
      </c>
      <c r="H25" s="14" t="s">
        <v>359</v>
      </c>
      <c r="I25" s="14" t="s">
        <v>282</v>
      </c>
      <c r="J25" s="14" t="s">
        <v>360</v>
      </c>
    </row>
    <row r="26" customFormat="false" ht="16.5" hidden="false" customHeight="true" outlineLevel="0" collapsed="false">
      <c r="A26" s="4" t="n">
        <v>22</v>
      </c>
      <c r="B26" s="5" t="s">
        <v>135</v>
      </c>
      <c r="C26" s="5" t="s">
        <v>361</v>
      </c>
      <c r="D26" s="4" t="n">
        <v>2</v>
      </c>
      <c r="E26" s="5" t="s">
        <v>20</v>
      </c>
      <c r="F26" s="6"/>
      <c r="G26" s="7" t="n">
        <f aca="false">D26*F26</f>
        <v>0</v>
      </c>
      <c r="H26" s="5" t="s">
        <v>362</v>
      </c>
      <c r="I26" s="5" t="s">
        <v>16</v>
      </c>
      <c r="J26" s="5"/>
    </row>
    <row r="27" customFormat="false" ht="16.5" hidden="false" customHeight="true" outlineLevel="0" collapsed="false">
      <c r="A27" s="4" t="n">
        <v>23</v>
      </c>
      <c r="B27" s="5" t="s">
        <v>117</v>
      </c>
      <c r="C27" s="4" t="s">
        <v>363</v>
      </c>
      <c r="D27" s="4" t="n">
        <v>2</v>
      </c>
      <c r="E27" s="5" t="s">
        <v>75</v>
      </c>
      <c r="F27" s="6"/>
      <c r="G27" s="7" t="n">
        <f aca="false">D27*F27</f>
        <v>0</v>
      </c>
      <c r="H27" s="5" t="s">
        <v>364</v>
      </c>
      <c r="I27" s="5" t="s">
        <v>16</v>
      </c>
      <c r="J27" s="5"/>
    </row>
    <row r="28" customFormat="false" ht="15" hidden="false" customHeight="true" outlineLevel="0" collapsed="false">
      <c r="A28" s="13" t="n">
        <v>24</v>
      </c>
      <c r="B28" s="14" t="s">
        <v>289</v>
      </c>
      <c r="C28" s="14" t="s">
        <v>365</v>
      </c>
      <c r="D28" s="13" t="n">
        <v>1</v>
      </c>
      <c r="E28" s="14" t="s">
        <v>75</v>
      </c>
      <c r="F28" s="6"/>
      <c r="G28" s="15" t="n">
        <f aca="false">D28*F28</f>
        <v>0</v>
      </c>
      <c r="H28" s="14" t="s">
        <v>366</v>
      </c>
      <c r="I28" s="14" t="s">
        <v>282</v>
      </c>
      <c r="J28" s="14" t="s">
        <v>367</v>
      </c>
    </row>
    <row r="29" customFormat="false" ht="16.5" hidden="false" customHeight="true" outlineLevel="0" collapsed="false">
      <c r="B29" s="9" t="s">
        <v>368</v>
      </c>
      <c r="G29" s="10" t="n">
        <f aca="false">SUMIFS(G5:G28,I5:I28,"확정")</f>
        <v>0</v>
      </c>
    </row>
    <row r="30" customFormat="false" ht="16.5" hidden="false" customHeight="true" outlineLevel="0" collapsed="false">
      <c r="B30" s="9" t="s">
        <v>297</v>
      </c>
      <c r="G30" s="10" t="n">
        <f aca="false">SUM(G5:G28)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2026-09-24T15:16:41Z</dcterms:created>
  <dc:creator>openpyxl</dc:creator>
  <dc:description/>
  <dc:language>en-US</dc:language>
  <cp:lastModifiedBy/>
  <dcterms:modified xsi:type="dcterms:W3CDTF">2026-10-20T09:28:17Z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