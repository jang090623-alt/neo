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물품 구입 신청" sheetId="1" state="visible" r:id="rId1"/>
  </sheets>
  <definedNames>
    <definedName name="_xlnm.Print_Area" localSheetId="0">'물품 구입 신청'!$A$1:$I$65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8"/>
    </font>
    <font>
      <b val="1"/>
      <sz val="8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icemart.co.kr/goods/view?no=15336269" TargetMode="External" Id="rId1" /><Relationship Type="http://schemas.openxmlformats.org/officeDocument/2006/relationships/hyperlink" Target="https://www.devicemart.co.kr/goods/view?no=15336164" TargetMode="External" Id="rId2" /><Relationship Type="http://schemas.openxmlformats.org/officeDocument/2006/relationships/hyperlink" Target="https://www.devicemart.co.kr/goods/view?no=16130996" TargetMode="External" Id="rId3" /><Relationship Type="http://schemas.openxmlformats.org/officeDocument/2006/relationships/hyperlink" Target="https://smball.co.kr" TargetMode="External" Id="rId4" /><Relationship Type="http://schemas.openxmlformats.org/officeDocument/2006/relationships/hyperlink" Target="https://smball.co.kr/product/detail.html?product_no=50" TargetMode="External" Id="rId5" /><Relationship Type="http://schemas.openxmlformats.org/officeDocument/2006/relationships/hyperlink" Target="https://smball.co.kr/product/detail.html?product_no=50" TargetMode="External" Id="rId6" /><Relationship Type="http://schemas.openxmlformats.org/officeDocument/2006/relationships/hyperlink" Target="https://www.coupang.com/vp/products/8630678241" TargetMode="External" Id="rId7" /><Relationship Type="http://schemas.openxmlformats.org/officeDocument/2006/relationships/hyperlink" Target="https://www.coupang.com/vp/products/8230435105" TargetMode="External" Id="rId8" /><Relationship Type="http://schemas.openxmlformats.org/officeDocument/2006/relationships/hyperlink" Target="https://www.coupang.com/vp/products/9743421687" TargetMode="External" Id="rId9" /><Relationship Type="http://schemas.openxmlformats.org/officeDocument/2006/relationships/hyperlink" Target="https://www.coupang.com/vp/products/8532354386" TargetMode="External" Id="rId10" /><Relationship Type="http://schemas.openxmlformats.org/officeDocument/2006/relationships/hyperlink" Target="https://www.coupang.com/vp/products/8558801755" TargetMode="External" Id="rId11" /><Relationship Type="http://schemas.openxmlformats.org/officeDocument/2006/relationships/hyperlink" Target="https://www.coupang.com/vp/products/6305734042" TargetMode="External" Id="rId12" /><Relationship Type="http://schemas.openxmlformats.org/officeDocument/2006/relationships/hyperlink" Target="https://www.coupang.com/vp/products/4845669553" TargetMode="External" Id="rId13" /><Relationship Type="http://schemas.openxmlformats.org/officeDocument/2006/relationships/hyperlink" Target="https://www.coupang.com/vp/products/9638493021" TargetMode="External" Id="rId14" /><Relationship Type="http://schemas.openxmlformats.org/officeDocument/2006/relationships/hyperlink" Target="https://www.coupang.com/vp/products/9669133315" TargetMode="External" Id="rId15" /><Relationship Type="http://schemas.openxmlformats.org/officeDocument/2006/relationships/hyperlink" Target="https://www.coupang.com/vp/products/6455358137" TargetMode="External" Id="rId16" /><Relationship Type="http://schemas.openxmlformats.org/officeDocument/2006/relationships/hyperlink" Target="https://www.coupang.com/vp/products/6455358137" TargetMode="External" Id="rId17" /><Relationship Type="http://schemas.openxmlformats.org/officeDocument/2006/relationships/hyperlink" Target="https://www.coupang.com/vp/products/6455358137" TargetMode="External" Id="rId18" /><Relationship Type="http://schemas.openxmlformats.org/officeDocument/2006/relationships/hyperlink" Target="https://www.coupang.com/vp/products/6455358137" TargetMode="External" Id="rId19" /><Relationship Type="http://schemas.openxmlformats.org/officeDocument/2006/relationships/hyperlink" Target="https://www.coupang.com/vp/products/6455358137" TargetMode="External" Id="rId20" /><Relationship Type="http://schemas.openxmlformats.org/officeDocument/2006/relationships/hyperlink" Target="https://www.coupang.com/vp/products/6455358137" TargetMode="External" Id="rId21" /><Relationship Type="http://schemas.openxmlformats.org/officeDocument/2006/relationships/hyperlink" Target="https://www.coupang.com/vp/products/6455358137" TargetMode="External" Id="rId22" /><Relationship Type="http://schemas.openxmlformats.org/officeDocument/2006/relationships/hyperlink" Target="https://www.coupang.com/vp/products/7974822838" TargetMode="External" Id="rId23" /><Relationship Type="http://schemas.openxmlformats.org/officeDocument/2006/relationships/hyperlink" Target="https://www.coupang.com/vp/products/7440529428" TargetMode="External" Id="rId24" /><Relationship Type="http://schemas.openxmlformats.org/officeDocument/2006/relationships/hyperlink" Target="https://www.coupang.com/vp/products/6455358137" TargetMode="External" Id="rId25" /><Relationship Type="http://schemas.openxmlformats.org/officeDocument/2006/relationships/hyperlink" Target="https://www.coupang.com/vp/products/6455358137" TargetMode="External" Id="rId26" /><Relationship Type="http://schemas.openxmlformats.org/officeDocument/2006/relationships/hyperlink" Target="https://www.coupang.com/vp/products/6455358137" TargetMode="External" Id="rId27" /><Relationship Type="http://schemas.openxmlformats.org/officeDocument/2006/relationships/hyperlink" Target="https://www.coupang.com/vp/products/6455358137" TargetMode="External" Id="rId28" /><Relationship Type="http://schemas.openxmlformats.org/officeDocument/2006/relationships/hyperlink" Target="https://www.coupang.com/vp/products/6455358137" TargetMode="External" Id="rId29" /><Relationship Type="http://schemas.openxmlformats.org/officeDocument/2006/relationships/hyperlink" Target="https://www.coupang.com/vp/products/6455358137" TargetMode="External" Id="rId30" /><Relationship Type="http://schemas.openxmlformats.org/officeDocument/2006/relationships/hyperlink" Target="https://www.coupang.com/vp/products/6455358137" TargetMode="External" Id="rId31" /><Relationship Type="http://schemas.openxmlformats.org/officeDocument/2006/relationships/hyperlink" Target="https://www.coupang.com/vp/products/6455358137" TargetMode="External" Id="rId32" /><Relationship Type="http://schemas.openxmlformats.org/officeDocument/2006/relationships/hyperlink" Target="https://www.coupang.com/vp/products/6455358137" TargetMode="External" Id="rId33" /><Relationship Type="http://schemas.openxmlformats.org/officeDocument/2006/relationships/hyperlink" Target="https://www.coupang.com/vp/products/7687671245" TargetMode="External" Id="rId34" /><Relationship Type="http://schemas.openxmlformats.org/officeDocument/2006/relationships/hyperlink" Target="https://www.coupang.com/vp/products/6280971320" TargetMode="External" Id="rId35" /><Relationship Type="http://schemas.openxmlformats.org/officeDocument/2006/relationships/hyperlink" Target="https://www.coupang.com/vp/products/7760964029" TargetMode="External" Id="rId36" /><Relationship Type="http://schemas.openxmlformats.org/officeDocument/2006/relationships/hyperlink" Target="https://www.coupang.com/vp/products/2725054" TargetMode="External" Id="rId37" /><Relationship Type="http://schemas.openxmlformats.org/officeDocument/2006/relationships/hyperlink" Target="https://www.coupang.com/vp/products/8643897709" TargetMode="External" Id="rId38" /><Relationship Type="http://schemas.openxmlformats.org/officeDocument/2006/relationships/hyperlink" Target="https://www.coupang.com/vp/products/8305908512" TargetMode="External" Id="rId39" /><Relationship Type="http://schemas.openxmlformats.org/officeDocument/2006/relationships/hyperlink" Target="https://www.coupang.com/vp/products/71452005" TargetMode="External" Id="rId40" /><Relationship Type="http://schemas.openxmlformats.org/officeDocument/2006/relationships/hyperlink" Target="https://www.coupang.com/vp/products/9593337115" TargetMode="External" Id="rId41" /><Relationship Type="http://schemas.openxmlformats.org/officeDocument/2006/relationships/hyperlink" Target="https://www.coupang.com/vp/products/1119152790" TargetMode="External" Id="rId42" /><Relationship Type="http://schemas.openxmlformats.org/officeDocument/2006/relationships/hyperlink" Target="https://www.coupang.com/vp/products/8520223332" TargetMode="External" Id="rId43" /><Relationship Type="http://schemas.openxmlformats.org/officeDocument/2006/relationships/hyperlink" Target="https://www.coupang.com/vp/products/7119515778" TargetMode="External" Id="rId44" /><Relationship Type="http://schemas.openxmlformats.org/officeDocument/2006/relationships/hyperlink" Target="https://www.coupang.com/vp/products/9167678186" TargetMode="External" Id="rId45" /><Relationship Type="http://schemas.openxmlformats.org/officeDocument/2006/relationships/hyperlink" Target="https://www.coupang.com/vp/products/9699042565" TargetMode="External" Id="rId46" /><Relationship Type="http://schemas.openxmlformats.org/officeDocument/2006/relationships/hyperlink" Target="https://www.coupang.com/vp/products/9661304796" TargetMode="External" Id="rId47" /><Relationship Type="http://schemas.openxmlformats.org/officeDocument/2006/relationships/hyperlink" Target="https://www.coupang.com/vp/products/6667848502" TargetMode="External" Id="rId48" /><Relationship Type="http://schemas.openxmlformats.org/officeDocument/2006/relationships/hyperlink" Target="https://www.coupang.com/vp/products/9663070188" TargetMode="External" Id="rId49" /><Relationship Type="http://schemas.openxmlformats.org/officeDocument/2006/relationships/hyperlink" Target="https://www.coupang.com/vp/products/9169963218" TargetMode="External" Id="rId50" /><Relationship Type="http://schemas.openxmlformats.org/officeDocument/2006/relationships/hyperlink" Target="https://www.coupang.com/vp/products/7495734120" TargetMode="External" Id="rId51" /><Relationship Type="http://schemas.openxmlformats.org/officeDocument/2006/relationships/hyperlink" Target="https://www.coupang.com/vp/products/8324531851" TargetMode="External" Id="rId52" /><Relationship Type="http://schemas.openxmlformats.org/officeDocument/2006/relationships/hyperlink" Target="https://www.coupang.com/vp/products/7225302003" TargetMode="External" Id="rId53" /><Relationship Type="http://schemas.openxmlformats.org/officeDocument/2006/relationships/hyperlink" Target="https://www.coupang.com/vp/products/8667960491" TargetMode="External" Id="rId54" /><Relationship Type="http://schemas.openxmlformats.org/officeDocument/2006/relationships/hyperlink" Target="https://www.coupang.com/vp/products/7503391635" TargetMode="External" Id="rId55" /><Relationship Type="http://schemas.openxmlformats.org/officeDocument/2006/relationships/hyperlink" Target="https://www.coupang.com/vp/products/9496076712" TargetMode="External" Id="rId56" /><Relationship Type="http://schemas.openxmlformats.org/officeDocument/2006/relationships/hyperlink" Target="https://www.coupang.com/vp/products/9619089050" TargetMode="External" Id="rId57" /><Relationship Type="http://schemas.openxmlformats.org/officeDocument/2006/relationships/hyperlink" Target="https://www.coupang.com/vp/products/8301956558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5" customWidth="1" min="4" max="4"/>
    <col width="6" customWidth="1" min="5" max="5"/>
    <col width="8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동아리 학술제 물품 구입 신청(1차) · RPM · 3D프린팅 5단+후진 수동변속기 제작 재료</t>
        </is>
      </c>
    </row>
    <row r="2">
      <c r="A2" s="2" t="inlineStr">
        <is>
          <t>단가는 2026-10-20 판매처 화면 기준(VAT 포함). 입력축·출력축 양면 D컷 가공비는 별도(가공 업체 견적 후 확정).</t>
        </is>
      </c>
    </row>
    <row r="4">
      <c r="A4" s="3" t="inlineStr">
        <is>
          <t>번호</t>
        </is>
      </c>
      <c r="B4" s="3" t="inlineStr">
        <is>
          <t>품명</t>
        </is>
      </c>
      <c r="C4" s="3" t="inlineStr">
        <is>
          <t>규격</t>
        </is>
      </c>
      <c r="D4" s="3" t="inlineStr">
        <is>
          <t>수량</t>
        </is>
      </c>
      <c r="E4" s="3" t="inlineStr">
        <is>
          <t>단위</t>
        </is>
      </c>
      <c r="F4" s="3" t="inlineStr">
        <is>
          <t>단가</t>
        </is>
      </c>
      <c r="G4" s="3" t="inlineStr">
        <is>
          <t>금액</t>
        </is>
      </c>
      <c r="H4" s="3" t="inlineStr">
        <is>
          <t>구입처</t>
        </is>
      </c>
      <c r="I4" s="3" t="inlineStr">
        <is>
          <t>상품번호</t>
        </is>
      </c>
    </row>
    <row r="5">
      <c r="A5" s="4" t="n">
        <v>1</v>
      </c>
      <c r="B5" s="5" t="inlineStr">
        <is>
          <t>압축 스프링 C252</t>
        </is>
      </c>
      <c r="C5" s="5" t="inlineStr">
        <is>
          <t>외경 18, 자유장 32</t>
        </is>
      </c>
      <c r="D5" s="4" t="n">
        <v>9</v>
      </c>
      <c r="E5" s="4" t="inlineStr">
        <is>
          <t>개</t>
        </is>
      </c>
      <c r="F5" s="6" t="n">
        <v>8360</v>
      </c>
      <c r="G5" s="6">
        <f>D5*F5</f>
        <v/>
      </c>
      <c r="H5" s="4" t="inlineStr">
        <is>
          <t>디바이스마트</t>
        </is>
      </c>
      <c r="I5" s="7" t="inlineStr">
        <is>
          <t>15336269</t>
        </is>
      </c>
    </row>
    <row r="6">
      <c r="A6" s="4" t="n">
        <v>2</v>
      </c>
      <c r="B6" s="5" t="inlineStr">
        <is>
          <t>압축 스프링 C147</t>
        </is>
      </c>
      <c r="C6" s="5" t="inlineStr">
        <is>
          <t>외경 5, 길이 10</t>
        </is>
      </c>
      <c r="D6" s="4" t="n">
        <v>3</v>
      </c>
      <c r="E6" s="4" t="inlineStr">
        <is>
          <t>개</t>
        </is>
      </c>
      <c r="F6" s="6" t="n">
        <v>990</v>
      </c>
      <c r="G6" s="6">
        <f>D6*F6</f>
        <v/>
      </c>
      <c r="H6" s="4" t="inlineStr">
        <is>
          <t>디바이스마트</t>
        </is>
      </c>
      <c r="I6" s="7" t="inlineStr">
        <is>
          <t>15336164</t>
        </is>
      </c>
    </row>
    <row r="7">
      <c r="A7" s="4" t="n">
        <v>3</v>
      </c>
      <c r="B7" s="5" t="inlineStr">
        <is>
          <t>가변저항 B10K</t>
        </is>
      </c>
      <c r="C7" s="5" t="inlineStr">
        <is>
          <t>회전형 16mm, 축 Ø6 반달(D컷, 평면까지 4.5~4.6), 축 길이 15mm(장착면부터), 부싱 M7</t>
        </is>
      </c>
      <c r="D7" s="4" t="n">
        <v>3</v>
      </c>
      <c r="E7" s="4" t="inlineStr">
        <is>
          <t>개</t>
        </is>
      </c>
      <c r="F7" s="6" t="n">
        <v>3993</v>
      </c>
      <c r="G7" s="6">
        <f>D7*F7</f>
        <v/>
      </c>
      <c r="H7" s="4" t="inlineStr">
        <is>
          <t>디바이스마트</t>
        </is>
      </c>
      <c r="I7" s="7" t="inlineStr">
        <is>
          <t>16130996</t>
        </is>
      </c>
    </row>
    <row r="8">
      <c r="A8" s="4" t="n">
        <v>4</v>
      </c>
      <c r="B8" s="5" t="inlineStr">
        <is>
          <t>연마봉(강철 축)</t>
        </is>
      </c>
      <c r="C8" s="5" t="inlineStr">
        <is>
          <t>Ø12 1m (435·358·160 으로 절단)</t>
        </is>
      </c>
      <c r="D8" s="4" t="n">
        <v>1</v>
      </c>
      <c r="E8" s="4" t="inlineStr">
        <is>
          <t>개</t>
        </is>
      </c>
      <c r="F8" s="6" t="n">
        <v>16000</v>
      </c>
      <c r="G8" s="6">
        <f>D8*F8</f>
        <v/>
      </c>
      <c r="H8" s="4" t="inlineStr">
        <is>
          <t>소망트레이딩</t>
        </is>
      </c>
      <c r="I8" s="7" t="inlineStr"/>
    </row>
    <row r="9">
      <c r="A9" s="4" t="n">
        <v>5</v>
      </c>
      <c r="B9" s="5" t="inlineStr">
        <is>
          <t>연마봉(강철 축) 짧은 것</t>
        </is>
      </c>
      <c r="C9" s="5" t="inlineStr">
        <is>
          <t>Ø12, 55mm 이상 (55로 절단)</t>
        </is>
      </c>
      <c r="D9" s="4" t="n">
        <v>1</v>
      </c>
      <c r="E9" s="4" t="inlineStr">
        <is>
          <t>개</t>
        </is>
      </c>
      <c r="F9" s="6" t="n">
        <v>1600</v>
      </c>
      <c r="G9" s="6">
        <f>D9*F9</f>
        <v/>
      </c>
      <c r="H9" s="4" t="inlineStr">
        <is>
          <t>소망트레이딩</t>
        </is>
      </c>
      <c r="I9" s="7" t="inlineStr"/>
    </row>
    <row r="10">
      <c r="A10" s="4" t="n">
        <v>6</v>
      </c>
      <c r="B10" s="5" t="inlineStr">
        <is>
          <t>연마봉(변속 레일)</t>
        </is>
      </c>
      <c r="C10" s="5" t="inlineStr">
        <is>
          <t>Ø6, 371mm</t>
        </is>
      </c>
      <c r="D10" s="4" t="n">
        <v>3</v>
      </c>
      <c r="E10" s="4" t="inlineStr">
        <is>
          <t>개</t>
        </is>
      </c>
      <c r="F10" s="6" t="n">
        <v>5200</v>
      </c>
      <c r="G10" s="6">
        <f>D10*F10</f>
        <v/>
      </c>
      <c r="H10" s="4" t="inlineStr">
        <is>
          <t>소망트레이딩</t>
        </is>
      </c>
      <c r="I10" s="7" t="inlineStr"/>
    </row>
    <row r="11">
      <c r="A11" s="4" t="n">
        <v>7</v>
      </c>
      <c r="B11" s="5" t="inlineStr">
        <is>
          <t>6001ZZ 볼 베어링 (10개 묶음)</t>
        </is>
      </c>
      <c r="C11" s="5" t="inlineStr">
        <is>
          <t>12×28×8</t>
        </is>
      </c>
      <c r="D11" s="4" t="n">
        <v>2</v>
      </c>
      <c r="E11" s="4" t="inlineStr">
        <is>
          <t>묶음</t>
        </is>
      </c>
      <c r="F11" s="6" t="n">
        <v>6000</v>
      </c>
      <c r="G11" s="6">
        <f>D11*F11</f>
        <v/>
      </c>
      <c r="H11" s="4" t="inlineStr">
        <is>
          <t>쿠팡</t>
        </is>
      </c>
      <c r="I11" s="7" t="inlineStr">
        <is>
          <t>8630678241</t>
        </is>
      </c>
    </row>
    <row r="12">
      <c r="A12" s="4" t="n">
        <v>8</v>
      </c>
      <c r="B12" s="5" t="inlineStr">
        <is>
          <t>6003ZZ 볼 베어링</t>
        </is>
      </c>
      <c r="C12" s="5" t="inlineStr">
        <is>
          <t>17×35×10</t>
        </is>
      </c>
      <c r="D12" s="4" t="n">
        <v>1</v>
      </c>
      <c r="E12" s="4" t="inlineStr">
        <is>
          <t>개</t>
        </is>
      </c>
      <c r="F12" s="6" t="n">
        <v>1100</v>
      </c>
      <c r="G12" s="6">
        <f>D12*F12</f>
        <v/>
      </c>
      <c r="H12" s="4" t="inlineStr">
        <is>
          <t>쿠팡</t>
        </is>
      </c>
      <c r="I12" s="7" t="inlineStr">
        <is>
          <t>8230435105</t>
        </is>
      </c>
    </row>
    <row r="13">
      <c r="A13" s="4" t="n">
        <v>9</v>
      </c>
      <c r="B13" s="5" t="inlineStr">
        <is>
          <t>강철 평행핀</t>
        </is>
      </c>
      <c r="C13" s="5" t="inlineStr">
        <is>
          <t>Ø5×25</t>
        </is>
      </c>
      <c r="D13" s="4" t="n">
        <v>1</v>
      </c>
      <c r="E13" s="4" t="inlineStr">
        <is>
          <t>봉(100개)</t>
        </is>
      </c>
      <c r="F13" s="6" t="n">
        <v>27000</v>
      </c>
      <c r="G13" s="6">
        <f>D13*F13</f>
        <v/>
      </c>
      <c r="H13" s="4" t="inlineStr">
        <is>
          <t>쿠팡</t>
        </is>
      </c>
      <c r="I13" s="7" t="inlineStr">
        <is>
          <t>9743421687</t>
        </is>
      </c>
    </row>
    <row r="14">
      <c r="A14" s="4" t="n">
        <v>10</v>
      </c>
      <c r="B14" s="5" t="inlineStr">
        <is>
          <t>강철 평행핀</t>
        </is>
      </c>
      <c r="C14" s="5" t="inlineStr">
        <is>
          <t>Ø5×40</t>
        </is>
      </c>
      <c r="D14" s="4" t="n">
        <v>6</v>
      </c>
      <c r="E14" s="4" t="inlineStr">
        <is>
          <t>개</t>
        </is>
      </c>
      <c r="F14" s="6" t="n">
        <v>440</v>
      </c>
      <c r="G14" s="6">
        <f>D14*F14</f>
        <v/>
      </c>
      <c r="H14" s="4" t="inlineStr">
        <is>
          <t>쿠팡</t>
        </is>
      </c>
      <c r="I14" s="7" t="inlineStr">
        <is>
          <t>8532354386</t>
        </is>
      </c>
    </row>
    <row r="15">
      <c r="A15" s="4" t="n">
        <v>11</v>
      </c>
      <c r="B15" s="5" t="inlineStr">
        <is>
          <t>NBR 고무 호스</t>
        </is>
      </c>
      <c r="C15" s="5" t="inlineStr">
        <is>
          <t>안지름 5 × 바깥지름 10</t>
        </is>
      </c>
      <c r="D15" s="4" t="n">
        <v>1</v>
      </c>
      <c r="E15" s="4" t="inlineStr">
        <is>
          <t>개(약2m)</t>
        </is>
      </c>
      <c r="F15" s="6" t="n">
        <v>8900</v>
      </c>
      <c r="G15" s="6">
        <f>D15*F15</f>
        <v/>
      </c>
      <c r="H15" s="4" t="inlineStr">
        <is>
          <t>쿠팡</t>
        </is>
      </c>
      <c r="I15" s="7" t="inlineStr">
        <is>
          <t>8558801755</t>
        </is>
      </c>
    </row>
    <row r="16">
      <c r="A16" s="4" t="n">
        <v>12</v>
      </c>
      <c r="B16" s="5" t="inlineStr">
        <is>
          <t>큰 와셔 DIN9021 M16 (강철)</t>
        </is>
      </c>
      <c r="C16" s="5" t="inlineStr">
        <is>
          <t>안지름 17 × 바깥지름 50 × 두께 3</t>
        </is>
      </c>
      <c r="D16" s="4" t="n">
        <v>2</v>
      </c>
      <c r="E16" s="4" t="inlineStr">
        <is>
          <t>개</t>
        </is>
      </c>
      <c r="F16" s="6" t="n">
        <v>710</v>
      </c>
      <c r="G16" s="6">
        <f>D16*F16</f>
        <v/>
      </c>
      <c r="H16" s="4" t="inlineStr">
        <is>
          <t>쿠팡</t>
        </is>
      </c>
      <c r="I16" s="7" t="inlineStr">
        <is>
          <t>6305734042</t>
        </is>
      </c>
    </row>
    <row r="17">
      <c r="A17" s="4" t="n">
        <v>13</v>
      </c>
      <c r="B17" s="5" t="inlineStr">
        <is>
          <t>코르크 시트</t>
        </is>
      </c>
      <c r="C17" s="5" t="inlineStr">
        <is>
          <t>두께 2mm, A4</t>
        </is>
      </c>
      <c r="D17" s="4" t="n">
        <v>1</v>
      </c>
      <c r="E17" s="4" t="inlineStr">
        <is>
          <t>장</t>
        </is>
      </c>
      <c r="F17" s="6" t="n">
        <v>1890</v>
      </c>
      <c r="G17" s="6">
        <f>D17*F17</f>
        <v/>
      </c>
      <c r="H17" s="4" t="inlineStr">
        <is>
          <t>쿠팡</t>
        </is>
      </c>
      <c r="I17" s="7" t="inlineStr">
        <is>
          <t>4845669553</t>
        </is>
      </c>
    </row>
    <row r="18">
      <c r="A18" s="4" t="n">
        <v>14</v>
      </c>
      <c r="B18" s="5" t="inlineStr">
        <is>
          <t>강구</t>
        </is>
      </c>
      <c r="C18" s="5" t="inlineStr">
        <is>
          <t>Ø6mm 50개</t>
        </is>
      </c>
      <c r="D18" s="4" t="n">
        <v>1</v>
      </c>
      <c r="E18" s="4" t="inlineStr">
        <is>
          <t>봉</t>
        </is>
      </c>
      <c r="F18" s="6" t="n">
        <v>3500</v>
      </c>
      <c r="G18" s="6">
        <f>D18*F18</f>
        <v/>
      </c>
      <c r="H18" s="4" t="inlineStr">
        <is>
          <t>쿠팡</t>
        </is>
      </c>
      <c r="I18" s="7" t="inlineStr">
        <is>
          <t>9638493021</t>
        </is>
      </c>
    </row>
    <row r="19">
      <c r="A19" s="4" t="n">
        <v>15</v>
      </c>
      <c r="B19" s="5" t="inlineStr">
        <is>
          <t>샤프트 칼라 (Ø6 축용)</t>
        </is>
      </c>
      <c r="C19" s="5" t="inlineStr">
        <is>
          <t>안지름 6.1, 바깥지름 11, 폭 6, 멈춤나사형 (RC 휠 칼라, 10개)</t>
        </is>
      </c>
      <c r="D19" s="4" t="n">
        <v>1</v>
      </c>
      <c r="E19" s="4" t="inlineStr">
        <is>
          <t>봉(10개)</t>
        </is>
      </c>
      <c r="F19" s="6" t="n">
        <v>14800</v>
      </c>
      <c r="G19" s="6">
        <f>D19*F19</f>
        <v/>
      </c>
      <c r="H19" s="4" t="inlineStr">
        <is>
          <t>쿠팡</t>
        </is>
      </c>
      <c r="I19" s="7" t="inlineStr">
        <is>
          <t>9669133315</t>
        </is>
      </c>
    </row>
    <row r="20">
      <c r="A20" s="4" t="n">
        <v>16</v>
      </c>
      <c r="B20" s="5" t="inlineStr">
        <is>
          <t>M3 렌치볼트</t>
        </is>
      </c>
      <c r="C20" s="5" t="inlineStr">
        <is>
          <t>M3×8 (육각 홈붙이, 스텐)</t>
        </is>
      </c>
      <c r="D20" s="4" t="n">
        <v>9</v>
      </c>
      <c r="E20" s="4" t="inlineStr">
        <is>
          <t>개</t>
        </is>
      </c>
      <c r="F20" s="6" t="n">
        <v>50</v>
      </c>
      <c r="G20" s="6">
        <f>D20*F20</f>
        <v/>
      </c>
      <c r="H20" s="4" t="inlineStr">
        <is>
          <t>쿠팡</t>
        </is>
      </c>
      <c r="I20" s="7" t="inlineStr">
        <is>
          <t>6455358137</t>
        </is>
      </c>
    </row>
    <row r="21">
      <c r="A21" s="4" t="n">
        <v>17</v>
      </c>
      <c r="B21" s="5" t="inlineStr">
        <is>
          <t>M3 렌치볼트</t>
        </is>
      </c>
      <c r="C21" s="5" t="inlineStr">
        <is>
          <t>M3×10</t>
        </is>
      </c>
      <c r="D21" s="4" t="n">
        <v>1</v>
      </c>
      <c r="E21" s="4" t="inlineStr">
        <is>
          <t>개</t>
        </is>
      </c>
      <c r="F21" s="6" t="n">
        <v>60</v>
      </c>
      <c r="G21" s="6">
        <f>D21*F21</f>
        <v/>
      </c>
      <c r="H21" s="4" t="inlineStr">
        <is>
          <t>쿠팡</t>
        </is>
      </c>
      <c r="I21" s="7" t="inlineStr">
        <is>
          <t>6455358137</t>
        </is>
      </c>
    </row>
    <row r="22">
      <c r="A22" s="4" t="n">
        <v>18</v>
      </c>
      <c r="B22" s="5" t="inlineStr">
        <is>
          <t>M3 렌치볼트</t>
        </is>
      </c>
      <c r="C22" s="5" t="inlineStr">
        <is>
          <t>M3×12</t>
        </is>
      </c>
      <c r="D22" s="4" t="n">
        <v>34</v>
      </c>
      <c r="E22" s="4" t="inlineStr">
        <is>
          <t>개</t>
        </is>
      </c>
      <c r="F22" s="6" t="n">
        <v>60</v>
      </c>
      <c r="G22" s="6">
        <f>D22*F22</f>
        <v/>
      </c>
      <c r="H22" s="4" t="inlineStr">
        <is>
          <t>쿠팡</t>
        </is>
      </c>
      <c r="I22" s="7" t="inlineStr">
        <is>
          <t>6455358137</t>
        </is>
      </c>
    </row>
    <row r="23">
      <c r="A23" s="4" t="n">
        <v>19</v>
      </c>
      <c r="B23" s="5" t="inlineStr">
        <is>
          <t>M3 렌치볼트</t>
        </is>
      </c>
      <c r="C23" s="5" t="inlineStr">
        <is>
          <t>M3×16</t>
        </is>
      </c>
      <c r="D23" s="4" t="n">
        <v>2</v>
      </c>
      <c r="E23" s="4" t="inlineStr">
        <is>
          <t>개</t>
        </is>
      </c>
      <c r="F23" s="6" t="n">
        <v>100</v>
      </c>
      <c r="G23" s="6">
        <f>D23*F23</f>
        <v/>
      </c>
      <c r="H23" s="4" t="inlineStr">
        <is>
          <t>쿠팡</t>
        </is>
      </c>
      <c r="I23" s="7" t="inlineStr">
        <is>
          <t>6455358137</t>
        </is>
      </c>
    </row>
    <row r="24">
      <c r="A24" s="4" t="n">
        <v>20</v>
      </c>
      <c r="B24" s="5" t="inlineStr">
        <is>
          <t>M3 렌치볼트 + 너트</t>
        </is>
      </c>
      <c r="C24" s="5" t="inlineStr">
        <is>
          <t>M3×20</t>
        </is>
      </c>
      <c r="D24" s="4" t="n">
        <v>9</v>
      </c>
      <c r="E24" s="4" t="inlineStr">
        <is>
          <t>세트</t>
        </is>
      </c>
      <c r="F24" s="6" t="n">
        <v>130</v>
      </c>
      <c r="G24" s="6">
        <f>D24*F24</f>
        <v/>
      </c>
      <c r="H24" s="4" t="inlineStr">
        <is>
          <t>쿠팡</t>
        </is>
      </c>
      <c r="I24" s="7" t="inlineStr">
        <is>
          <t>6455358137</t>
        </is>
      </c>
    </row>
    <row r="25">
      <c r="A25" s="4" t="n">
        <v>21</v>
      </c>
      <c r="B25" s="5" t="inlineStr">
        <is>
          <t>M3 렌치볼트</t>
        </is>
      </c>
      <c r="C25" s="5" t="inlineStr">
        <is>
          <t>M3×25</t>
        </is>
      </c>
      <c r="D25" s="4" t="n">
        <v>6</v>
      </c>
      <c r="E25" s="4" t="inlineStr">
        <is>
          <t>개</t>
        </is>
      </c>
      <c r="F25" s="6" t="n">
        <v>70</v>
      </c>
      <c r="G25" s="6">
        <f>D25*F25</f>
        <v/>
      </c>
      <c r="H25" s="4" t="inlineStr">
        <is>
          <t>쿠팡</t>
        </is>
      </c>
      <c r="I25" s="7" t="inlineStr">
        <is>
          <t>6455358137</t>
        </is>
      </c>
    </row>
    <row r="26">
      <c r="A26" s="4" t="n">
        <v>22</v>
      </c>
      <c r="B26" s="5" t="inlineStr">
        <is>
          <t>M3 렌치볼트</t>
        </is>
      </c>
      <c r="C26" s="5" t="inlineStr">
        <is>
          <t>M3×50</t>
        </is>
      </c>
      <c r="D26" s="4" t="n">
        <v>4</v>
      </c>
      <c r="E26" s="4" t="inlineStr">
        <is>
          <t>개</t>
        </is>
      </c>
      <c r="F26" s="6" t="n">
        <v>170</v>
      </c>
      <c r="G26" s="6">
        <f>D26*F26</f>
        <v/>
      </c>
      <c r="H26" s="4" t="inlineStr">
        <is>
          <t>쿠팡</t>
        </is>
      </c>
      <c r="I26" s="7" t="inlineStr">
        <is>
          <t>6455358137</t>
        </is>
      </c>
    </row>
    <row r="27">
      <c r="A27" s="4" t="n">
        <v>23</v>
      </c>
      <c r="B27" s="5" t="inlineStr">
        <is>
          <t>M3 무두볼트</t>
        </is>
      </c>
      <c r="C27" s="5" t="inlineStr">
        <is>
          <t>M3×8</t>
        </is>
      </c>
      <c r="D27" s="4" t="n">
        <v>1</v>
      </c>
      <c r="E27" s="4" t="inlineStr">
        <is>
          <t>개</t>
        </is>
      </c>
      <c r="F27" s="6" t="n">
        <v>60</v>
      </c>
      <c r="G27" s="6">
        <f>D27*F27</f>
        <v/>
      </c>
      <c r="H27" s="4" t="inlineStr">
        <is>
          <t>쿠팡</t>
        </is>
      </c>
      <c r="I27" s="7" t="inlineStr">
        <is>
          <t>7974822838</t>
        </is>
      </c>
    </row>
    <row r="28">
      <c r="A28" s="4" t="n">
        <v>24</v>
      </c>
      <c r="B28" s="5" t="inlineStr">
        <is>
          <t>M3 평와셔</t>
        </is>
      </c>
      <c r="C28" s="5" t="inlineStr">
        <is>
          <t>M3 (바깥지름 8, 두께 0.5)</t>
        </is>
      </c>
      <c r="D28" s="4" t="n">
        <v>15</v>
      </c>
      <c r="E28" s="4" t="inlineStr">
        <is>
          <t>개</t>
        </is>
      </c>
      <c r="F28" s="6" t="n">
        <v>20</v>
      </c>
      <c r="G28" s="6">
        <f>D28*F28</f>
        <v/>
      </c>
      <c r="H28" s="4" t="inlineStr">
        <is>
          <t>쿠팡</t>
        </is>
      </c>
      <c r="I28" s="7" t="inlineStr">
        <is>
          <t>7440529428</t>
        </is>
      </c>
    </row>
    <row r="29">
      <c r="A29" s="4" t="n">
        <v>25</v>
      </c>
      <c r="B29" s="5" t="inlineStr">
        <is>
          <t>M4 렌치볼트 + 너트</t>
        </is>
      </c>
      <c r="C29" s="5" t="inlineStr">
        <is>
          <t>M4×16</t>
        </is>
      </c>
      <c r="D29" s="4" t="n">
        <v>4</v>
      </c>
      <c r="E29" s="4" t="inlineStr">
        <is>
          <t>세트</t>
        </is>
      </c>
      <c r="F29" s="6" t="n">
        <v>170</v>
      </c>
      <c r="G29" s="6">
        <f>D29*F29</f>
        <v/>
      </c>
      <c r="H29" s="4" t="inlineStr">
        <is>
          <t>쿠팡</t>
        </is>
      </c>
      <c r="I29" s="7" t="inlineStr">
        <is>
          <t>6455358137</t>
        </is>
      </c>
    </row>
    <row r="30">
      <c r="A30" s="4" t="n">
        <v>26</v>
      </c>
      <c r="B30" s="5" t="inlineStr">
        <is>
          <t>M4 렌치볼트 + 너트</t>
        </is>
      </c>
      <c r="C30" s="5" t="inlineStr">
        <is>
          <t>M4×25</t>
        </is>
      </c>
      <c r="D30" s="4" t="n">
        <v>4</v>
      </c>
      <c r="E30" s="4" t="inlineStr">
        <is>
          <t>세트</t>
        </is>
      </c>
      <c r="F30" s="6" t="n">
        <v>160</v>
      </c>
      <c r="G30" s="6">
        <f>D30*F30</f>
        <v/>
      </c>
      <c r="H30" s="4" t="inlineStr">
        <is>
          <t>쿠팡</t>
        </is>
      </c>
      <c r="I30" s="7" t="inlineStr">
        <is>
          <t>6455358137</t>
        </is>
      </c>
    </row>
    <row r="31">
      <c r="A31" s="4" t="n">
        <v>27</v>
      </c>
      <c r="B31" s="5" t="inlineStr">
        <is>
          <t>M4 렌치볼트 + 너트</t>
        </is>
      </c>
      <c r="C31" s="5" t="inlineStr">
        <is>
          <t>M4×30</t>
        </is>
      </c>
      <c r="D31" s="4" t="n">
        <v>20</v>
      </c>
      <c r="E31" s="4" t="inlineStr">
        <is>
          <t>세트</t>
        </is>
      </c>
      <c r="F31" s="6" t="n">
        <v>190</v>
      </c>
      <c r="G31" s="6">
        <f>D31*F31</f>
        <v/>
      </c>
      <c r="H31" s="4" t="inlineStr">
        <is>
          <t>쿠팡</t>
        </is>
      </c>
      <c r="I31" s="7" t="inlineStr">
        <is>
          <t>6455358137</t>
        </is>
      </c>
    </row>
    <row r="32">
      <c r="A32" s="4" t="n">
        <v>28</v>
      </c>
      <c r="B32" s="5" t="inlineStr">
        <is>
          <t>M4 렌치볼트 + 너트</t>
        </is>
      </c>
      <c r="C32" s="5" t="inlineStr">
        <is>
          <t>M4×60</t>
        </is>
      </c>
      <c r="D32" s="4" t="n">
        <v>3</v>
      </c>
      <c r="E32" s="4" t="inlineStr">
        <is>
          <t>세트</t>
        </is>
      </c>
      <c r="F32" s="6" t="n">
        <v>350</v>
      </c>
      <c r="G32" s="6">
        <f>D32*F32</f>
        <v/>
      </c>
      <c r="H32" s="4" t="inlineStr">
        <is>
          <t>쿠팡</t>
        </is>
      </c>
      <c r="I32" s="7" t="inlineStr">
        <is>
          <t>6455358137</t>
        </is>
      </c>
    </row>
    <row r="33">
      <c r="A33" s="4" t="n">
        <v>29</v>
      </c>
      <c r="B33" s="5" t="inlineStr">
        <is>
          <t>M5 렌치볼트 + 너트</t>
        </is>
      </c>
      <c r="C33" s="5" t="inlineStr">
        <is>
          <t>M5×10</t>
        </is>
      </c>
      <c r="D33" s="4" t="n">
        <v>3</v>
      </c>
      <c r="E33" s="4" t="inlineStr">
        <is>
          <t>세트</t>
        </is>
      </c>
      <c r="F33" s="6" t="n">
        <v>200</v>
      </c>
      <c r="G33" s="6">
        <f>D33*F33</f>
        <v/>
      </c>
      <c r="H33" s="4" t="inlineStr">
        <is>
          <t>쿠팡</t>
        </is>
      </c>
      <c r="I33" s="7" t="inlineStr">
        <is>
          <t>6455358137</t>
        </is>
      </c>
    </row>
    <row r="34">
      <c r="A34" s="4" t="n">
        <v>30</v>
      </c>
      <c r="B34" s="5" t="inlineStr">
        <is>
          <t>M5 렌치볼트 + 너트</t>
        </is>
      </c>
      <c r="C34" s="5" t="inlineStr">
        <is>
          <t>M5×20</t>
        </is>
      </c>
      <c r="D34" s="4" t="n">
        <v>3</v>
      </c>
      <c r="E34" s="4" t="inlineStr">
        <is>
          <t>세트</t>
        </is>
      </c>
      <c r="F34" s="6" t="n">
        <v>230</v>
      </c>
      <c r="G34" s="6">
        <f>D34*F34</f>
        <v/>
      </c>
      <c r="H34" s="4" t="inlineStr">
        <is>
          <t>쿠팡</t>
        </is>
      </c>
      <c r="I34" s="7" t="inlineStr">
        <is>
          <t>6455358137</t>
        </is>
      </c>
    </row>
    <row r="35">
      <c r="A35" s="4" t="n">
        <v>31</v>
      </c>
      <c r="B35" s="5" t="inlineStr">
        <is>
          <t>M5 렌치볼트 + 평와셔</t>
        </is>
      </c>
      <c r="C35" s="5" t="inlineStr">
        <is>
          <t>M5×8 3개 + M5×12 3개 + M5 와셔 3개</t>
        </is>
      </c>
      <c r="D35" s="4" t="n">
        <v>1</v>
      </c>
      <c r="E35" s="4" t="inlineStr">
        <is>
          <t>세트</t>
        </is>
      </c>
      <c r="F35" s="6" t="n">
        <v>720</v>
      </c>
      <c r="G35" s="6">
        <f>D35*F35</f>
        <v/>
      </c>
      <c r="H35" s="4" t="inlineStr">
        <is>
          <t>쿠팡</t>
        </is>
      </c>
      <c r="I35" s="7" t="inlineStr">
        <is>
          <t>6455358137</t>
        </is>
      </c>
    </row>
    <row r="36">
      <c r="A36" s="4" t="n">
        <v>32</v>
      </c>
      <c r="B36" s="5" t="inlineStr">
        <is>
          <t>M5 렌치볼트 + 나일론 너트</t>
        </is>
      </c>
      <c r="C36" s="5" t="inlineStr">
        <is>
          <t>M5×70</t>
        </is>
      </c>
      <c r="D36" s="4" t="n">
        <v>1</v>
      </c>
      <c r="E36" s="4" t="inlineStr">
        <is>
          <t>세트</t>
        </is>
      </c>
      <c r="F36" s="6" t="n">
        <v>550</v>
      </c>
      <c r="G36" s="6">
        <f>D36*F36</f>
        <v/>
      </c>
      <c r="H36" s="4" t="inlineStr">
        <is>
          <t>쿠팡</t>
        </is>
      </c>
      <c r="I36" s="7" t="inlineStr">
        <is>
          <t>6455358137</t>
        </is>
      </c>
    </row>
    <row r="37">
      <c r="A37" s="4" t="n">
        <v>33</v>
      </c>
      <c r="B37" s="5" t="inlineStr">
        <is>
          <t>M6 렌치볼트</t>
        </is>
      </c>
      <c r="C37" s="5" t="inlineStr">
        <is>
          <t>M6×25</t>
        </is>
      </c>
      <c r="D37" s="4" t="n">
        <v>6</v>
      </c>
      <c r="E37" s="4" t="inlineStr">
        <is>
          <t>개</t>
        </is>
      </c>
      <c r="F37" s="6" t="n">
        <v>210</v>
      </c>
      <c r="G37" s="6">
        <f>D37*F37</f>
        <v/>
      </c>
      <c r="H37" s="4" t="inlineStr">
        <is>
          <t>쿠팡</t>
        </is>
      </c>
      <c r="I37" s="7" t="inlineStr">
        <is>
          <t>6455358137</t>
        </is>
      </c>
    </row>
    <row r="38">
      <c r="A38" s="4" t="n">
        <v>34</v>
      </c>
      <c r="B38" s="5" t="inlineStr">
        <is>
          <t>M6 너트</t>
        </is>
      </c>
      <c r="C38" s="5" t="inlineStr">
        <is>
          <t>M6 (맞변 10)</t>
        </is>
      </c>
      <c r="D38" s="4" t="n">
        <v>4</v>
      </c>
      <c r="E38" s="4" t="inlineStr">
        <is>
          <t>개</t>
        </is>
      </c>
      <c r="F38" s="6" t="n">
        <v>60</v>
      </c>
      <c r="G38" s="6">
        <f>D38*F38</f>
        <v/>
      </c>
      <c r="H38" s="4" t="inlineStr">
        <is>
          <t>쿠팡</t>
        </is>
      </c>
      <c r="I38" s="7" t="inlineStr">
        <is>
          <t>7687671245</t>
        </is>
      </c>
    </row>
    <row r="39">
      <c r="A39" s="4" t="n">
        <v>35</v>
      </c>
      <c r="B39" s="5" t="inlineStr">
        <is>
          <t>M6 나일론 너트</t>
        </is>
      </c>
      <c r="C39" s="5" t="inlineStr">
        <is>
          <t>M6 (DIN985, 두께 6)</t>
        </is>
      </c>
      <c r="D39" s="4" t="n">
        <v>2</v>
      </c>
      <c r="E39" s="4" t="inlineStr">
        <is>
          <t>개</t>
        </is>
      </c>
      <c r="F39" s="6" t="n">
        <v>170</v>
      </c>
      <c r="G39" s="6">
        <f>D39*F39</f>
        <v/>
      </c>
      <c r="H39" s="4" t="inlineStr">
        <is>
          <t>쿠팡</t>
        </is>
      </c>
      <c r="I39" s="7" t="inlineStr">
        <is>
          <t>6280971320</t>
        </is>
      </c>
    </row>
    <row r="40">
      <c r="A40" s="4" t="n">
        <v>36</v>
      </c>
      <c r="B40" s="5" t="inlineStr">
        <is>
          <t>목재 나사</t>
        </is>
      </c>
      <c r="C40" s="5" t="inlineStr">
        <is>
          <t>4×16 둥근머리 1종 (스텐, 26개 봉)</t>
        </is>
      </c>
      <c r="D40" s="4" t="n">
        <v>1</v>
      </c>
      <c r="E40" s="4" t="inlineStr">
        <is>
          <t>봉(26개)</t>
        </is>
      </c>
      <c r="F40" s="6" t="n">
        <v>1150</v>
      </c>
      <c r="G40" s="6">
        <f>D40*F40</f>
        <v/>
      </c>
      <c r="H40" s="4" t="inlineStr">
        <is>
          <t>쿠팡</t>
        </is>
      </c>
      <c r="I40" s="7" t="inlineStr">
        <is>
          <t>7760964029</t>
        </is>
      </c>
    </row>
    <row r="41">
      <c r="A41" s="4" t="n">
        <v>37</v>
      </c>
      <c r="B41" s="5" t="inlineStr">
        <is>
          <t>에폭시 접착제</t>
        </is>
      </c>
      <c r="C41" s="5" t="inlineStr">
        <is>
          <t>2액형</t>
        </is>
      </c>
      <c r="D41" s="4" t="n">
        <v>1</v>
      </c>
      <c r="E41" s="4" t="inlineStr">
        <is>
          <t>개</t>
        </is>
      </c>
      <c r="F41" s="6" t="n">
        <v>4440</v>
      </c>
      <c r="G41" s="6">
        <f>D41*F41</f>
        <v/>
      </c>
      <c r="H41" s="4" t="inlineStr">
        <is>
          <t>쿠팡</t>
        </is>
      </c>
      <c r="I41" s="7" t="inlineStr">
        <is>
          <t>2725054</t>
        </is>
      </c>
    </row>
    <row r="42">
      <c r="A42" s="4" t="n">
        <v>38</v>
      </c>
      <c r="B42" s="5" t="inlineStr">
        <is>
          <t>순간접착제</t>
        </is>
      </c>
      <c r="C42" s="5" t="inlineStr">
        <is>
          <t>일반</t>
        </is>
      </c>
      <c r="D42" s="4" t="n">
        <v>1</v>
      </c>
      <c r="E42" s="4" t="inlineStr">
        <is>
          <t>개</t>
        </is>
      </c>
      <c r="F42" s="6" t="n">
        <v>3000</v>
      </c>
      <c r="G42" s="6">
        <f>D42*F42</f>
        <v/>
      </c>
      <c r="H42" s="4" t="inlineStr">
        <is>
          <t>쿠팡</t>
        </is>
      </c>
      <c r="I42" s="7" t="inlineStr">
        <is>
          <t>8643897709</t>
        </is>
      </c>
    </row>
    <row r="43">
      <c r="A43" s="4" t="n">
        <v>39</v>
      </c>
      <c r="B43" s="5" t="inlineStr">
        <is>
          <t>자전거 브레이크 케이블 세트</t>
        </is>
      </c>
      <c r="C43" s="5" t="inlineStr">
        <is>
          <t>속선(니플 달린 것) 2m + 아우터 바깥지름 5 2m + 끝 캡</t>
        </is>
      </c>
      <c r="D43" s="4" t="n">
        <v>1</v>
      </c>
      <c r="E43" s="4" t="inlineStr">
        <is>
          <t>세트</t>
        </is>
      </c>
      <c r="F43" s="6" t="n">
        <v>6900</v>
      </c>
      <c r="G43" s="6">
        <f>D43*F43</f>
        <v/>
      </c>
      <c r="H43" s="4" t="inlineStr">
        <is>
          <t>쿠팡</t>
        </is>
      </c>
      <c r="I43" s="7" t="inlineStr">
        <is>
          <t>8305908512</t>
        </is>
      </c>
    </row>
    <row r="44">
      <c r="A44" s="4" t="n">
        <v>40</v>
      </c>
      <c r="B44" s="5" t="inlineStr">
        <is>
          <t>MDF 판</t>
        </is>
      </c>
      <c r="C44" s="5" t="inlineStr">
        <is>
          <t>12T 300×1200 재단</t>
        </is>
      </c>
      <c r="D44" s="4" t="n">
        <v>1</v>
      </c>
      <c r="E44" s="4" t="inlineStr">
        <is>
          <t>장</t>
        </is>
      </c>
      <c r="F44" s="6" t="n">
        <v>9600</v>
      </c>
      <c r="G44" s="6">
        <f>D44*F44</f>
        <v/>
      </c>
      <c r="H44" s="4" t="inlineStr">
        <is>
          <t>쿠팡</t>
        </is>
      </c>
      <c r="I44" s="7" t="inlineStr">
        <is>
          <t>71452005</t>
        </is>
      </c>
    </row>
    <row r="45">
      <c r="A45" s="4" t="n">
        <v>41</v>
      </c>
      <c r="B45" s="5" t="inlineStr">
        <is>
          <t>투명 아크릴</t>
        </is>
      </c>
      <c r="C45" s="5" t="inlineStr">
        <is>
          <t>A3 3T</t>
        </is>
      </c>
      <c r="D45" s="4" t="n">
        <v>3</v>
      </c>
      <c r="E45" s="4" t="inlineStr">
        <is>
          <t>장</t>
        </is>
      </c>
      <c r="F45" s="6" t="n">
        <v>9000</v>
      </c>
      <c r="G45" s="6">
        <f>D45*F45</f>
        <v/>
      </c>
      <c r="H45" s="4" t="inlineStr">
        <is>
          <t>쿠팡</t>
        </is>
      </c>
      <c r="I45" s="7" t="inlineStr">
        <is>
          <t>9593337115</t>
        </is>
      </c>
    </row>
    <row r="46">
      <c r="A46" s="4" t="n">
        <v>42</v>
      </c>
      <c r="B46" s="5" t="inlineStr">
        <is>
          <t>아두이노 레오나르도 R3 + 케이블</t>
        </is>
      </c>
      <c r="C46" s="5" t="inlineStr">
        <is>
          <t>ATmega32u4</t>
        </is>
      </c>
      <c r="D46" s="4" t="n">
        <v>1</v>
      </c>
      <c r="E46" s="4" t="inlineStr">
        <is>
          <t>개</t>
        </is>
      </c>
      <c r="F46" s="6" t="n">
        <v>9200</v>
      </c>
      <c r="G46" s="6">
        <f>D46*F46</f>
        <v/>
      </c>
      <c r="H46" s="4" t="inlineStr">
        <is>
          <t>쿠팡</t>
        </is>
      </c>
      <c r="I46" s="7" t="inlineStr">
        <is>
          <t>1119152790</t>
        </is>
      </c>
    </row>
    <row r="47">
      <c r="A47" s="4" t="n">
        <v>43</v>
      </c>
      <c r="B47" s="5" t="inlineStr">
        <is>
          <t>홀센서 A3144</t>
        </is>
      </c>
      <c r="C47" s="5" t="inlineStr">
        <is>
          <t>3핀 소자</t>
        </is>
      </c>
      <c r="D47" s="4" t="n">
        <v>7</v>
      </c>
      <c r="E47" s="4" t="inlineStr">
        <is>
          <t>개</t>
        </is>
      </c>
      <c r="F47" s="6" t="n">
        <v>90</v>
      </c>
      <c r="G47" s="6">
        <f>D47*F47</f>
        <v/>
      </c>
      <c r="H47" s="4" t="inlineStr">
        <is>
          <t>쿠팡</t>
        </is>
      </c>
      <c r="I47" s="7" t="inlineStr">
        <is>
          <t>8520223332</t>
        </is>
      </c>
    </row>
    <row r="48">
      <c r="A48" s="4" t="n">
        <v>44</v>
      </c>
      <c r="B48" s="5" t="inlineStr">
        <is>
          <t>네오디뮴 자석</t>
        </is>
      </c>
      <c r="C48" s="5" t="inlineStr">
        <is>
          <t>Ø6×3mm 40개</t>
        </is>
      </c>
      <c r="D48" s="4" t="n">
        <v>1</v>
      </c>
      <c r="E48" s="4" t="inlineStr">
        <is>
          <t>봉</t>
        </is>
      </c>
      <c r="F48" s="6" t="n">
        <v>11300</v>
      </c>
      <c r="G48" s="6">
        <f>D48*F48</f>
        <v/>
      </c>
      <c r="H48" s="4" t="inlineStr">
        <is>
          <t>쿠팡</t>
        </is>
      </c>
      <c r="I48" s="7" t="inlineStr">
        <is>
          <t>7119515778</t>
        </is>
      </c>
    </row>
    <row r="49">
      <c r="A49" s="4" t="n">
        <v>45</v>
      </c>
      <c r="B49" s="5" t="inlineStr">
        <is>
          <t>마이크로스위치</t>
        </is>
      </c>
      <c r="C49" s="5" t="inlineStr">
        <is>
          <t>KW-11-3Z 레버형</t>
        </is>
      </c>
      <c r="D49" s="4" t="n">
        <v>2</v>
      </c>
      <c r="E49" s="4" t="inlineStr">
        <is>
          <t>개</t>
        </is>
      </c>
      <c r="F49" s="6" t="n">
        <v>400</v>
      </c>
      <c r="G49" s="6">
        <f>D49*F49</f>
        <v/>
      </c>
      <c r="H49" s="4" t="inlineStr">
        <is>
          <t>쿠팡</t>
        </is>
      </c>
      <c r="I49" s="7" t="inlineStr">
        <is>
          <t>9167678186</t>
        </is>
      </c>
    </row>
    <row r="50">
      <c r="A50" s="4" t="n">
        <v>46</v>
      </c>
      <c r="B50" s="5" t="inlineStr">
        <is>
          <t>점퍼 케이블</t>
        </is>
      </c>
      <c r="C50" s="5" t="inlineStr">
        <is>
          <t>M-F 40P 40cm</t>
        </is>
      </c>
      <c r="D50" s="4" t="n">
        <v>1</v>
      </c>
      <c r="E50" s="4" t="inlineStr">
        <is>
          <t>개</t>
        </is>
      </c>
      <c r="F50" s="6" t="n">
        <v>5300</v>
      </c>
      <c r="G50" s="6">
        <f>D50*F50</f>
        <v/>
      </c>
      <c r="H50" s="4" t="inlineStr">
        <is>
          <t>쿠팡</t>
        </is>
      </c>
      <c r="I50" s="7" t="inlineStr">
        <is>
          <t>9699042565</t>
        </is>
      </c>
    </row>
    <row r="51">
      <c r="A51" s="4" t="n">
        <v>47</v>
      </c>
      <c r="B51" s="5" t="inlineStr">
        <is>
          <t>만능기판</t>
        </is>
      </c>
      <c r="C51" s="5" t="inlineStr">
        <is>
          <t>20개 묶음</t>
        </is>
      </c>
      <c r="D51" s="4" t="n">
        <v>1</v>
      </c>
      <c r="E51" s="4" t="inlineStr">
        <is>
          <t>봉</t>
        </is>
      </c>
      <c r="F51" s="6" t="n">
        <v>15000</v>
      </c>
      <c r="G51" s="6">
        <f>D51*F51</f>
        <v/>
      </c>
      <c r="H51" s="4" t="inlineStr">
        <is>
          <t>쿠팡</t>
        </is>
      </c>
      <c r="I51" s="7" t="inlineStr">
        <is>
          <t>9661304796</t>
        </is>
      </c>
    </row>
    <row r="52">
      <c r="A52" s="4" t="n">
        <v>48</v>
      </c>
      <c r="B52" s="5" t="inlineStr">
        <is>
          <t>자동차 릴레이 + 소켓</t>
        </is>
      </c>
      <c r="C52" s="5" t="inlineStr">
        <is>
          <t>12V, 접점 40A, 4핀</t>
        </is>
      </c>
      <c r="D52" s="4" t="n">
        <v>1</v>
      </c>
      <c r="E52" s="4" t="inlineStr">
        <is>
          <t>개</t>
        </is>
      </c>
      <c r="F52" s="6" t="n">
        <v>3100</v>
      </c>
      <c r="G52" s="6">
        <f>D52*F52</f>
        <v/>
      </c>
      <c r="H52" s="4" t="inlineStr">
        <is>
          <t>쿠팡</t>
        </is>
      </c>
      <c r="I52" s="7" t="inlineStr">
        <is>
          <t>6667848502</t>
        </is>
      </c>
    </row>
    <row r="53">
      <c r="A53" s="4" t="n">
        <v>49</v>
      </c>
      <c r="B53" s="5" t="inlineStr">
        <is>
          <t>블레이드 퓨즈 + 인라인 홀더</t>
        </is>
      </c>
      <c r="C53" s="5" t="inlineStr">
        <is>
          <t>15A</t>
        </is>
      </c>
      <c r="D53" s="4" t="n">
        <v>1</v>
      </c>
      <c r="E53" s="4" t="inlineStr">
        <is>
          <t>세트</t>
        </is>
      </c>
      <c r="F53" s="6" t="n">
        <v>8900</v>
      </c>
      <c r="G53" s="6">
        <f>D53*F53</f>
        <v/>
      </c>
      <c r="H53" s="4" t="inlineStr">
        <is>
          <t>쿠팡</t>
        </is>
      </c>
      <c r="I53" s="7" t="inlineStr">
        <is>
          <t>9663070188</t>
        </is>
      </c>
    </row>
    <row r="54">
      <c r="A54" s="4" t="n">
        <v>50</v>
      </c>
      <c r="B54" s="5" t="inlineStr">
        <is>
          <t>비상정지 스위치</t>
        </is>
      </c>
      <c r="C54" s="5" t="inlineStr">
        <is>
          <t>버섯형, b접점(NC)</t>
        </is>
      </c>
      <c r="D54" s="4" t="n">
        <v>1</v>
      </c>
      <c r="E54" s="4" t="inlineStr">
        <is>
          <t>개</t>
        </is>
      </c>
      <c r="F54" s="6" t="n">
        <v>7700</v>
      </c>
      <c r="G54" s="6">
        <f>D54*F54</f>
        <v/>
      </c>
      <c r="H54" s="4" t="inlineStr">
        <is>
          <t>쿠팡</t>
        </is>
      </c>
      <c r="I54" s="7" t="inlineStr">
        <is>
          <t>9169963218</t>
        </is>
      </c>
    </row>
    <row r="55">
      <c r="A55" s="4" t="n">
        <v>51</v>
      </c>
      <c r="B55" s="5" t="inlineStr">
        <is>
          <t>5V 릴레이 모듈</t>
        </is>
      </c>
      <c r="C55" s="5" t="inlineStr">
        <is>
          <t>1채널</t>
        </is>
      </c>
      <c r="D55" s="4" t="n">
        <v>1</v>
      </c>
      <c r="E55" s="4" t="inlineStr">
        <is>
          <t>개</t>
        </is>
      </c>
      <c r="F55" s="6" t="n">
        <v>990</v>
      </c>
      <c r="G55" s="6">
        <f>D55*F55</f>
        <v/>
      </c>
      <c r="H55" s="4" t="inlineStr">
        <is>
          <t>쿠팡</t>
        </is>
      </c>
      <c r="I55" s="7" t="inlineStr">
        <is>
          <t>7495734120</t>
        </is>
      </c>
    </row>
    <row r="56">
      <c r="A56" s="4" t="n">
        <v>52</v>
      </c>
      <c r="B56" s="5" t="inlineStr">
        <is>
          <t>다이오드 1N4007</t>
        </is>
      </c>
      <c r="C56" s="5" t="inlineStr"/>
      <c r="D56" s="4" t="n">
        <v>1</v>
      </c>
      <c r="E56" s="4" t="inlineStr">
        <is>
          <t>봉(10개)</t>
        </is>
      </c>
      <c r="F56" s="6" t="n">
        <v>200</v>
      </c>
      <c r="G56" s="6">
        <f>D56*F56</f>
        <v/>
      </c>
      <c r="H56" s="4" t="inlineStr">
        <is>
          <t>쿠팡</t>
        </is>
      </c>
      <c r="I56" s="7" t="inlineStr">
        <is>
          <t>8324531851</t>
        </is>
      </c>
    </row>
    <row r="57">
      <c r="A57" s="4" t="n">
        <v>53</v>
      </c>
      <c r="B57" s="5" t="inlineStr">
        <is>
          <t>전선</t>
        </is>
      </c>
      <c r="C57" s="5" t="inlineStr">
        <is>
          <t>1.5mm²(16AWG) 이상, 적·흑 각 2m</t>
        </is>
      </c>
      <c r="D57" s="4" t="n">
        <v>2</v>
      </c>
      <c r="E57" s="4" t="inlineStr">
        <is>
          <t>세트(1m)</t>
        </is>
      </c>
      <c r="F57" s="6" t="n">
        <v>1310</v>
      </c>
      <c r="G57" s="6">
        <f>D57*F57</f>
        <v/>
      </c>
      <c r="H57" s="4" t="inlineStr">
        <is>
          <t>쿠팡</t>
        </is>
      </c>
      <c r="I57" s="7" t="inlineStr">
        <is>
          <t>7225302003</t>
        </is>
      </c>
    </row>
    <row r="58">
      <c r="A58" s="4" t="n">
        <v>54</v>
      </c>
      <c r="B58" s="5" t="inlineStr">
        <is>
          <t>압착 단자 세트</t>
        </is>
      </c>
      <c r="C58" s="5" t="inlineStr">
        <is>
          <t>250 규격(6.3mm) 절연 암 평형 단자 (22~16AWG)</t>
        </is>
      </c>
      <c r="D58" s="4" t="n">
        <v>3</v>
      </c>
      <c r="E58" s="4" t="inlineStr">
        <is>
          <t>봉(2개)</t>
        </is>
      </c>
      <c r="F58" s="6" t="n">
        <v>310</v>
      </c>
      <c r="G58" s="6">
        <f>D58*F58</f>
        <v/>
      </c>
      <c r="H58" s="4" t="inlineStr">
        <is>
          <t>쿠팡</t>
        </is>
      </c>
      <c r="I58" s="7" t="inlineStr">
        <is>
          <t>8667960491</t>
        </is>
      </c>
    </row>
    <row r="59">
      <c r="A59" s="4" t="n">
        <v>55</v>
      </c>
      <c r="B59" s="5" t="inlineStr">
        <is>
          <t>저항</t>
        </is>
      </c>
      <c r="C59" s="5" t="inlineStr">
        <is>
          <t>10kΩ 1개 + 4.7kΩ 1개 (1/4W)</t>
        </is>
      </c>
      <c r="D59" s="4" t="n">
        <v>1</v>
      </c>
      <c r="E59" s="4" t="inlineStr">
        <is>
          <t>세트</t>
        </is>
      </c>
      <c r="F59" s="6" t="n">
        <v>830</v>
      </c>
      <c r="G59" s="6">
        <f>D59*F59</f>
        <v/>
      </c>
      <c r="H59" s="4" t="inlineStr">
        <is>
          <t>쿠팡</t>
        </is>
      </c>
      <c r="I59" s="7" t="inlineStr">
        <is>
          <t>7503391635</t>
        </is>
      </c>
    </row>
    <row r="60">
      <c r="A60" s="4" t="n">
        <v>56</v>
      </c>
      <c r="B60" s="5" t="inlineStr">
        <is>
          <t>PLA 필라멘트</t>
        </is>
      </c>
      <c r="C60" s="5" t="inlineStr">
        <is>
          <t>2.85mm, 1kg 롤</t>
        </is>
      </c>
      <c r="D60" s="4" t="n">
        <v>4</v>
      </c>
      <c r="E60" s="4" t="inlineStr">
        <is>
          <t>롤</t>
        </is>
      </c>
      <c r="F60" s="6" t="n">
        <v>30600</v>
      </c>
      <c r="G60" s="6">
        <f>D60*F60</f>
        <v/>
      </c>
      <c r="H60" s="4" t="inlineStr">
        <is>
          <t>쿠팡</t>
        </is>
      </c>
      <c r="I60" s="7" t="inlineStr">
        <is>
          <t>9496076712</t>
        </is>
      </c>
    </row>
    <row r="61">
      <c r="A61" s="4" t="n">
        <v>57</v>
      </c>
      <c r="B61" s="5" t="inlineStr">
        <is>
          <t>걸이 저울</t>
        </is>
      </c>
      <c r="C61" s="5" t="inlineStr">
        <is>
          <t>0~5kg, 10g 단위</t>
        </is>
      </c>
      <c r="D61" s="4" t="n">
        <v>1</v>
      </c>
      <c r="E61" s="4" t="inlineStr">
        <is>
          <t>개</t>
        </is>
      </c>
      <c r="F61" s="6" t="n">
        <v>13550</v>
      </c>
      <c r="G61" s="6">
        <f>D61*F61</f>
        <v/>
      </c>
      <c r="H61" s="4" t="inlineStr">
        <is>
          <t>쿠팡</t>
        </is>
      </c>
      <c r="I61" s="7" t="inlineStr">
        <is>
          <t>9619089050</t>
        </is>
      </c>
    </row>
    <row r="62">
      <c r="A62" s="4" t="n">
        <v>58</v>
      </c>
      <c r="B62" s="5" t="inlineStr">
        <is>
          <t>디지털 캘리퍼스</t>
        </is>
      </c>
      <c r="C62" s="5" t="inlineStr">
        <is>
          <t>0.01mm 표시, 150mm</t>
        </is>
      </c>
      <c r="D62" s="4" t="n">
        <v>1</v>
      </c>
      <c r="E62" s="4" t="inlineStr">
        <is>
          <t>개</t>
        </is>
      </c>
      <c r="F62" s="6" t="n">
        <v>7000</v>
      </c>
      <c r="G62" s="6">
        <f>D62*F62</f>
        <v/>
      </c>
      <c r="H62" s="4" t="inlineStr">
        <is>
          <t>쿠팡</t>
        </is>
      </c>
      <c r="I62" s="7" t="inlineStr">
        <is>
          <t>8301956558</t>
        </is>
      </c>
    </row>
    <row r="63">
      <c r="A63" s="4" t="n">
        <v>59</v>
      </c>
      <c r="B63" s="5" t="inlineStr">
        <is>
          <t>배송비</t>
        </is>
      </c>
      <c r="C63" s="5" t="inlineStr">
        <is>
          <t>새 판매처 포함</t>
        </is>
      </c>
      <c r="D63" s="4" t="n">
        <v>1</v>
      </c>
      <c r="E63" s="4" t="inlineStr">
        <is>
          <t>식</t>
        </is>
      </c>
      <c r="F63" s="6" t="n">
        <v>67900</v>
      </c>
      <c r="G63" s="6">
        <f>D63*F63</f>
        <v/>
      </c>
      <c r="H63" s="4" t="inlineStr">
        <is>
          <t>-</t>
        </is>
      </c>
      <c r="I63" s="7" t="inlineStr"/>
    </row>
    <row r="64">
      <c r="A64" s="8" t="n">
        <v>60</v>
      </c>
      <c r="B64" s="9" t="inlineStr">
        <is>
          <t>축 양면 D컷 가공 (입력축 435, 출력축 358)</t>
        </is>
      </c>
      <c r="C64" s="9" t="inlineStr">
        <is>
          <t>면 사이 10.0, 전체 길이</t>
        </is>
      </c>
      <c r="D64" s="8" t="n">
        <v>2</v>
      </c>
      <c r="E64" s="8" t="inlineStr">
        <is>
          <t>개</t>
        </is>
      </c>
      <c r="F64" s="9" t="n"/>
      <c r="G64" s="8" t="inlineStr">
        <is>
          <t>견적 후</t>
        </is>
      </c>
      <c r="H64" s="8" t="inlineStr">
        <is>
          <t>가공 업체</t>
        </is>
      </c>
      <c r="I64" s="9" t="n"/>
    </row>
    <row r="65">
      <c r="F65" s="10" t="inlineStr">
        <is>
          <t>합계</t>
        </is>
      </c>
      <c r="G65" s="11">
        <f>SUM(G5:G64)</f>
        <v/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</hyperlink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2026-10-20T12:42:49Z</dcterms:created>
  <dcterms:modified xsi:type="dcterms:W3CDTF">2026-10-20T12:42:49Z</dcterms:modified>
</cp:coreProperties>
</file>