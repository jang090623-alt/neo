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물품" sheetId="1" state="visible" r:id="rId1"/>
    <sheet xmlns:r="http://schemas.openxmlformats.org/officeDocument/2006/relationships" name="근거·확인" sheetId="2" state="visible" r:id="rId2"/>
  </sheets>
  <definedNames>
    <definedName name="_xlnm.Print_Titles" localSheetId="0">'물품'!$2:$2</definedName>
    <definedName name="_xlnm.Print_Titles" localSheetId="1">'근거·확인'!$1:$1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color indexed="8"/>
      <sz val="12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18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23">
    <xf numFmtId="0" fontId="0" fillId="0" borderId="0" applyAlignment="1" pivotButton="0" quotePrefix="0" xfId="0">
      <alignment vertical="center"/>
    </xf>
    <xf numFmtId="164" fontId="4" fillId="2" borderId="1" applyAlignment="1" pivotButton="0" quotePrefix="0" xfId="1">
      <alignment horizontal="right" vertical="center"/>
    </xf>
    <xf numFmtId="164" fontId="6" fillId="2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4" fontId="5" fillId="2" borderId="1" applyAlignment="1" pivotButton="0" quotePrefix="0" xfId="1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1">
      <alignment horizontal="right" vertical="center" wrapText="1"/>
    </xf>
    <xf numFmtId="164" fontId="6" fillId="2" borderId="1" applyAlignment="1" pivotButton="0" quotePrefix="0" xfId="1">
      <alignment horizontal="center" vertical="center"/>
    </xf>
    <xf numFmtId="164" fontId="5" fillId="2" borderId="1" applyAlignment="1" pivotButton="0" quotePrefix="0" xfId="1">
      <alignment horizontal="center" vertical="center"/>
    </xf>
    <xf numFmtId="164" fontId="4" fillId="2" borderId="1" applyAlignment="1" pivotButton="0" quotePrefix="0" xfId="1">
      <alignment horizontal="right" vertical="center"/>
    </xf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11st.co.kr/products/2569692102" TargetMode="External" Id="rId1"/><Relationship Type="http://schemas.openxmlformats.org/officeDocument/2006/relationships/hyperlink" Target="https://www.11st.co.kr/products/1432577678" TargetMode="External" Id="rId2"/><Relationship Type="http://schemas.openxmlformats.org/officeDocument/2006/relationships/hyperlink" Target="https://item.gmarket.co.kr/Item?goodscode=2295287294" TargetMode="External" Id="rId3"/><Relationship Type="http://schemas.openxmlformats.org/officeDocument/2006/relationships/hyperlink" Target="https://item.gmarket.co.kr/Item?goodscode=2295287294" TargetMode="External" Id="rId4"/><Relationship Type="http://schemas.openxmlformats.org/officeDocument/2006/relationships/hyperlink" Target="https://item.gmarket.co.kr/Item?goodscode=2295287294" TargetMode="External" Id="rId5"/><Relationship Type="http://schemas.openxmlformats.org/officeDocument/2006/relationships/hyperlink" Target="https://item.gmarket.co.kr/Item?goodscode=692264521" TargetMode="External" Id="rId6"/><Relationship Type="http://schemas.openxmlformats.org/officeDocument/2006/relationships/hyperlink" Target="https://www.coupang.com/vp/products/9743421687" TargetMode="External" Id="rId7"/><Relationship Type="http://schemas.openxmlformats.org/officeDocument/2006/relationships/hyperlink" Target="https://www.coupang.com/vp/products/8532354386" TargetMode="External" Id="rId8"/><Relationship Type="http://schemas.openxmlformats.org/officeDocument/2006/relationships/hyperlink" Target="https://www.coupang.com/vp/products/8558801755" TargetMode="External" Id="rId9"/><Relationship Type="http://schemas.openxmlformats.org/officeDocument/2006/relationships/hyperlink" Target="https://www.coupang.com/vp/products/6455358137" TargetMode="External" Id="rId10"/><Relationship Type="http://schemas.openxmlformats.org/officeDocument/2006/relationships/hyperlink" Target="https://www.coupang.com/vp/products/4845669553" TargetMode="External" Id="rId11"/><Relationship Type="http://schemas.openxmlformats.org/officeDocument/2006/relationships/hyperlink" Target="https://www.coupang.com/vp/products/9638493021" TargetMode="External" Id="rId12"/><Relationship Type="http://schemas.openxmlformats.org/officeDocument/2006/relationships/hyperlink" Target="https://www.coupang.com/vp/products/9669133315" TargetMode="External" Id="rId13"/><Relationship Type="http://schemas.openxmlformats.org/officeDocument/2006/relationships/hyperlink" Target="https://www.coupang.com/np/search?q=%EC%98%A4%EC%BC%80%EC%9D%B4%EC%8A%A4%ED%94%84%EB%A7%81%20%EB%A7%9E%EC%B6%A4%20%EC%95%95%EC%B6%95%EC%8A%A4%ED%94%84%EB%A7%81" TargetMode="External" Id="rId14"/><Relationship Type="http://schemas.openxmlformats.org/officeDocument/2006/relationships/hyperlink" Target="https://www.coupang.com/np/search?q=%EC%98%A4%EC%BC%80%EC%9D%B4%EC%8A%A4%ED%94%84%EB%A7%81%20%EB%A7%9E%EC%B6%A4%20%EC%95%95%EC%B6%95%EC%8A%A4%ED%94%84%EB%A7%81" TargetMode="External" Id="rId15"/><Relationship Type="http://schemas.openxmlformats.org/officeDocument/2006/relationships/hyperlink" Target="https://www.coupang.com/vp/products/6455358137" TargetMode="External" Id="rId16"/><Relationship Type="http://schemas.openxmlformats.org/officeDocument/2006/relationships/hyperlink" Target="https://www.coupang.com/vp/products/6455358137" TargetMode="External" Id="rId17"/><Relationship Type="http://schemas.openxmlformats.org/officeDocument/2006/relationships/hyperlink" Target="https://www.coupang.com/vp/products/6455358137" TargetMode="External" Id="rId18"/><Relationship Type="http://schemas.openxmlformats.org/officeDocument/2006/relationships/hyperlink" Target="https://www.coupang.com/vp/products/6455358137" TargetMode="External" Id="rId19"/><Relationship Type="http://schemas.openxmlformats.org/officeDocument/2006/relationships/hyperlink" Target="https://www.coupang.com/vp/products/6455358137" TargetMode="External" Id="rId20"/><Relationship Type="http://schemas.openxmlformats.org/officeDocument/2006/relationships/hyperlink" Target="https://www.coupang.com/vp/products/6455358137" TargetMode="External" Id="rId21"/><Relationship Type="http://schemas.openxmlformats.org/officeDocument/2006/relationships/hyperlink" Target="https://www.coupang.com/vp/products/6455358137" TargetMode="External" Id="rId22"/><Relationship Type="http://schemas.openxmlformats.org/officeDocument/2006/relationships/hyperlink" Target="https://www.coupang.com/vp/products/7974822838" TargetMode="External" Id="rId23"/><Relationship Type="http://schemas.openxmlformats.org/officeDocument/2006/relationships/hyperlink" Target="https://www.coupang.com/vp/products/6455358137" TargetMode="External" Id="rId24"/><Relationship Type="http://schemas.openxmlformats.org/officeDocument/2006/relationships/hyperlink" Target="https://www.coupang.com/vp/products/6455358137" TargetMode="External" Id="rId25"/><Relationship Type="http://schemas.openxmlformats.org/officeDocument/2006/relationships/hyperlink" Target="https://www.coupang.com/vp/products/6455358137" TargetMode="External" Id="rId26"/><Relationship Type="http://schemas.openxmlformats.org/officeDocument/2006/relationships/hyperlink" Target="https://www.coupang.com/vp/products/6455358137" TargetMode="External" Id="rId27"/><Relationship Type="http://schemas.openxmlformats.org/officeDocument/2006/relationships/hyperlink" Target="https://www.coupang.com/vp/products/6455358137" TargetMode="External" Id="rId28"/><Relationship Type="http://schemas.openxmlformats.org/officeDocument/2006/relationships/hyperlink" Target="https://www.coupang.com/vp/products/6455358137" TargetMode="External" Id="rId29"/><Relationship Type="http://schemas.openxmlformats.org/officeDocument/2006/relationships/hyperlink" Target="https://www.coupang.com/vp/products/6455358137" TargetMode="External" Id="rId30"/><Relationship Type="http://schemas.openxmlformats.org/officeDocument/2006/relationships/hyperlink" Target="https://www.coupang.com/vp/products/6455358137" TargetMode="External" Id="rId31"/><Relationship Type="http://schemas.openxmlformats.org/officeDocument/2006/relationships/hyperlink" Target="https://www.coupang.com/vp/products/6455358137" TargetMode="External" Id="rId32"/><Relationship Type="http://schemas.openxmlformats.org/officeDocument/2006/relationships/hyperlink" Target="https://www.coupang.com/vp/products/6455358137" TargetMode="External" Id="rId33"/><Relationship Type="http://schemas.openxmlformats.org/officeDocument/2006/relationships/hyperlink" Target="https://www.coupang.com/vp/products/7687671245" TargetMode="External" Id="rId34"/><Relationship Type="http://schemas.openxmlformats.org/officeDocument/2006/relationships/hyperlink" Target="https://www.coupang.com/vp/products/6280971320" TargetMode="External" Id="rId35"/><Relationship Type="http://schemas.openxmlformats.org/officeDocument/2006/relationships/hyperlink" Target="https://www.coupang.com/vp/products/7760964029" TargetMode="External" Id="rId36"/><Relationship Type="http://schemas.openxmlformats.org/officeDocument/2006/relationships/hyperlink" Target="https://www.coupang.com/vp/products/2725054" TargetMode="External" Id="rId37"/><Relationship Type="http://schemas.openxmlformats.org/officeDocument/2006/relationships/hyperlink" Target="https://www.coupang.com/vp/products/8643897709" TargetMode="External" Id="rId38"/><Relationship Type="http://schemas.openxmlformats.org/officeDocument/2006/relationships/hyperlink" Target="https://www.coupang.com/vp/products/8305908512" TargetMode="External" Id="rId39"/><Relationship Type="http://schemas.openxmlformats.org/officeDocument/2006/relationships/hyperlink" Target="https://www.coupang.com/vp/products/71452005" TargetMode="External" Id="rId40"/><Relationship Type="http://schemas.openxmlformats.org/officeDocument/2006/relationships/hyperlink" Target="https://www.11st.co.kr/products/4918717495" TargetMode="External" Id="rId41"/><Relationship Type="http://schemas.openxmlformats.org/officeDocument/2006/relationships/hyperlink" Target="https://www.11st.co.kr/products/4918717495" TargetMode="External" Id="rId42"/><Relationship Type="http://schemas.openxmlformats.org/officeDocument/2006/relationships/hyperlink" Target="https://www.coupang.com/vp/products/9593337115" TargetMode="External" Id="rId43"/><Relationship Type="http://schemas.openxmlformats.org/officeDocument/2006/relationships/hyperlink" Target="https://www.11st.co.kr/products/5099555102" TargetMode="External" Id="rId44"/><Relationship Type="http://schemas.openxmlformats.org/officeDocument/2006/relationships/hyperlink" Target="https://www.11st.co.kr/products/7426834008" TargetMode="External" Id="rId45"/><Relationship Type="http://schemas.openxmlformats.org/officeDocument/2006/relationships/hyperlink" Target="https://www.11st.co.kr/products/2070330612" TargetMode="External" Id="rId46"/><Relationship Type="http://schemas.openxmlformats.org/officeDocument/2006/relationships/hyperlink" Target="https://www.11st.co.kr/products/2283460419" TargetMode="External" Id="rId47"/><Relationship Type="http://schemas.openxmlformats.org/officeDocument/2006/relationships/hyperlink" Target="https://www.11st.co.kr/products/679503128" TargetMode="External" Id="rId48"/><Relationship Type="http://schemas.openxmlformats.org/officeDocument/2006/relationships/hyperlink" Target="https://www.11st.co.kr/products/1276168274" TargetMode="External" Id="rId49"/><Relationship Type="http://schemas.openxmlformats.org/officeDocument/2006/relationships/hyperlink" Target="https://www.11st.co.kr/products/2450926293" TargetMode="External" Id="rId50"/><Relationship Type="http://schemas.openxmlformats.org/officeDocument/2006/relationships/hyperlink" Target="https://www.coupang.com/vp/products/1119152790" TargetMode="External" Id="rId51"/><Relationship Type="http://schemas.openxmlformats.org/officeDocument/2006/relationships/hyperlink" Target="https://www.coupang.com/vp/products/8520223332" TargetMode="External" Id="rId52"/><Relationship Type="http://schemas.openxmlformats.org/officeDocument/2006/relationships/hyperlink" Target="https://www.coupang.com/vp/products/7119515778" TargetMode="External" Id="rId53"/><Relationship Type="http://schemas.openxmlformats.org/officeDocument/2006/relationships/hyperlink" Target="https://www.gmarket.co.kr/n/search?keyword=WH148%20B10K%20%ED%95%98%ED%94%84%20%EC%83%A4%ED%94%84%ED%8A%B8%2015mm" TargetMode="External" Id="rId54"/><Relationship Type="http://schemas.openxmlformats.org/officeDocument/2006/relationships/hyperlink" Target="https://www.coupang.com/vp/products/9167678186" TargetMode="External" Id="rId55"/><Relationship Type="http://schemas.openxmlformats.org/officeDocument/2006/relationships/hyperlink" Target="https://www.coupang.com/vp/products/9699042565" TargetMode="External" Id="rId56"/><Relationship Type="http://schemas.openxmlformats.org/officeDocument/2006/relationships/hyperlink" Target="https://www.coupang.com/vp/products/9661304796" TargetMode="External" Id="rId57"/><Relationship Type="http://schemas.openxmlformats.org/officeDocument/2006/relationships/hyperlink" Target="https://www.coupang.com/vp/products/6667848502" TargetMode="External" Id="rId58"/><Relationship Type="http://schemas.openxmlformats.org/officeDocument/2006/relationships/hyperlink" Target="https://www.coupang.com/vp/products/9663070188" TargetMode="External" Id="rId59"/><Relationship Type="http://schemas.openxmlformats.org/officeDocument/2006/relationships/hyperlink" Target="https://m.gmarket.co.kr/vi/product/711140155" TargetMode="External" Id="rId60"/><Relationship Type="http://schemas.openxmlformats.org/officeDocument/2006/relationships/hyperlink" Target="https://www.11st.co.kr/products/8521960628" TargetMode="External" Id="rId61"/><Relationship Type="http://schemas.openxmlformats.org/officeDocument/2006/relationships/hyperlink" Target="https://item.gmarket.co.kr/Item?goodscode=1577801859" TargetMode="External" Id="rId62"/><Relationship Type="http://schemas.openxmlformats.org/officeDocument/2006/relationships/hyperlink" Target="https://www.11st.co.kr/products/1453536560" TargetMode="External" Id="rId63"/><Relationship Type="http://schemas.openxmlformats.org/officeDocument/2006/relationships/hyperlink" Target="https://www.11st.co.kr/products/1969785917" TargetMode="External" Id="rId64"/><Relationship Type="http://schemas.openxmlformats.org/officeDocument/2006/relationships/hyperlink" Target="https://www.coupang.com/vp/products/7225302003" TargetMode="External" Id="rId65"/><Relationship Type="http://schemas.openxmlformats.org/officeDocument/2006/relationships/hyperlink" Target="https://www.coupang.com/vp/products/8667960491" TargetMode="External" Id="rId6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71"/>
  <sheetViews>
    <sheetView tabSelected="1" workbookViewId="0">
      <selection activeCell="D10" sqref="D10"/>
    </sheetView>
  </sheetViews>
  <sheetFormatPr baseColWidth="8" defaultRowHeight="17.4"/>
  <cols>
    <col width="6.5" customWidth="1" style="10" min="1" max="1"/>
    <col width="19.3984375" customWidth="1" style="15" min="2" max="2"/>
    <col width="13.09765625" customWidth="1" style="15" min="3" max="3"/>
    <col width="39.69921875" customWidth="1" style="15" min="4" max="4"/>
    <col width="16.59765625" customWidth="1" style="15" min="5" max="5"/>
    <col width="9.5" customWidth="1" style="15" min="6" max="6"/>
    <col width="24.3984375" customWidth="1" style="15" min="7" max="7"/>
    <col width="93.59765625" customWidth="1" style="15" min="8" max="8"/>
  </cols>
  <sheetData>
    <row r="1" ht="55.5" customHeight="1" s="15">
      <c r="A1" s="14" t="inlineStr">
        <is>
          <t>2026학년도 창체 동아리 물품 구입 신청</t>
        </is>
      </c>
    </row>
    <row r="2" ht="42" customHeight="1" s="15">
      <c r="A2" s="7" t="inlineStr">
        <is>
          <t>no</t>
        </is>
      </c>
      <c r="B2" s="3" t="inlineStr">
        <is>
          <t>동아리명</t>
        </is>
      </c>
      <c r="C2" s="3" t="inlineStr">
        <is>
          <t>교사명</t>
        </is>
      </c>
      <c r="D2" s="3" t="inlineStr">
        <is>
          <t>물품명</t>
        </is>
      </c>
      <c r="E2" s="3" t="inlineStr">
        <is>
          <t>예상단가</t>
        </is>
      </c>
      <c r="F2" s="3" t="inlineStr">
        <is>
          <t>수량</t>
        </is>
      </c>
      <c r="G2" s="3" t="inlineStr">
        <is>
          <t>금액</t>
        </is>
      </c>
      <c r="H2" s="11" t="inlineStr">
        <is>
          <t>구입링크 
(s2b, 쿠팡, 11번가, g마켓)</t>
        </is>
      </c>
    </row>
    <row r="3" ht="24.9" customHeight="1" s="15">
      <c r="A3" s="16" t="n">
        <v>1</v>
      </c>
      <c r="B3" s="12" t="inlineStr">
        <is>
          <t>RPM</t>
        </is>
      </c>
      <c r="C3" s="12" t="inlineStr">
        <is>
          <t>홍경표, 장수빈</t>
        </is>
      </c>
      <c r="D3" s="12" t="inlineStr">
        <is>
          <t>볼 베어링 6001ZZ NSK (12×28×8)</t>
        </is>
      </c>
      <c r="E3" s="17" t="n">
        <v>3000</v>
      </c>
      <c r="F3" s="12" t="n">
        <v>21</v>
      </c>
      <c r="G3" s="17">
        <f>F3*E3</f>
        <v/>
      </c>
      <c r="H3" s="12" t="inlineStr">
        <is>
          <t>https://www.11st.co.kr/products/2569692102</t>
        </is>
      </c>
    </row>
    <row r="4" ht="24.9" customHeight="1" s="15">
      <c r="A4" s="16" t="n">
        <v>2</v>
      </c>
      <c r="B4" s="12" t="inlineStr">
        <is>
          <t>RPM</t>
        </is>
      </c>
      <c r="C4" s="12" t="inlineStr">
        <is>
          <t>홍경표, 장수빈</t>
        </is>
      </c>
      <c r="D4" s="12" t="inlineStr">
        <is>
          <t>볼 베어링 6003ZZ NSK (17×35×10)</t>
        </is>
      </c>
      <c r="E4" s="17" t="n">
        <v>4000</v>
      </c>
      <c r="F4" s="12" t="n">
        <v>2</v>
      </c>
      <c r="G4" s="17">
        <f>F4*E4</f>
        <v/>
      </c>
      <c r="H4" s="12" t="inlineStr">
        <is>
          <t>https://www.11st.co.kr/products/1432577678</t>
        </is>
      </c>
    </row>
    <row r="5" ht="24.9" customHeight="1" s="15">
      <c r="A5" s="16" t="n">
        <v>3</v>
      </c>
      <c r="B5" s="12" t="inlineStr">
        <is>
          <t>RPM</t>
        </is>
      </c>
      <c r="C5" s="12" t="inlineStr">
        <is>
          <t>홍경표, 장수빈</t>
        </is>
      </c>
      <c r="D5" s="12" t="inlineStr">
        <is>
          <t>연마봉 Ø12 S45C 1m (435·358·160 으로 절단)</t>
        </is>
      </c>
      <c r="E5" s="17" t="n">
        <v>16000</v>
      </c>
      <c r="F5" s="12" t="n">
        <v>1</v>
      </c>
      <c r="G5" s="17">
        <f>F5*E5</f>
        <v/>
      </c>
      <c r="H5" s="12" t="inlineStr">
        <is>
          <t>https://item.gmarket.co.kr/Item?goodscode=2295287294</t>
        </is>
      </c>
    </row>
    <row r="6" ht="24.9" customHeight="1" s="15">
      <c r="A6" s="16" t="n">
        <v>4</v>
      </c>
      <c r="B6" s="12" t="inlineStr">
        <is>
          <t>RPM</t>
        </is>
      </c>
      <c r="C6" s="12" t="inlineStr">
        <is>
          <t>홍경표, 장수빈</t>
        </is>
      </c>
      <c r="D6" s="12" t="inlineStr">
        <is>
          <t>연마봉 Ø12 S45C 10cm (55 로 절단)</t>
        </is>
      </c>
      <c r="E6" s="17" t="n">
        <v>1600</v>
      </c>
      <c r="F6" s="12" t="n">
        <v>1</v>
      </c>
      <c r="G6" s="17">
        <f>F6*E6</f>
        <v/>
      </c>
      <c r="H6" s="12" t="inlineStr">
        <is>
          <t>https://item.gmarket.co.kr/Item?goodscode=2295287294</t>
        </is>
      </c>
    </row>
    <row r="7" ht="24.9" customHeight="1" s="15">
      <c r="A7" s="16" t="n">
        <v>5</v>
      </c>
      <c r="B7" s="12" t="inlineStr">
        <is>
          <t>RPM</t>
        </is>
      </c>
      <c r="C7" s="12" t="inlineStr">
        <is>
          <t>홍경표, 장수빈</t>
        </is>
      </c>
      <c r="D7" s="12" t="inlineStr">
        <is>
          <t>축 양면 D컷 가공 (입력축 435·출력축 358, 면 사이 10.0, 전체 길이)</t>
        </is>
      </c>
      <c r="E7" s="17" t="n">
        <v>40000</v>
      </c>
      <c r="F7" s="12" t="n">
        <v>2</v>
      </c>
      <c r="G7" s="17">
        <f>F7*E7</f>
        <v/>
      </c>
      <c r="H7" s="12" t="inlineStr">
        <is>
          <t>https://item.gmarket.co.kr/Item?goodscode=2295287294</t>
        </is>
      </c>
    </row>
    <row r="8" ht="24.9" customHeight="1" s="15">
      <c r="A8" s="16" t="n">
        <v>6</v>
      </c>
      <c r="B8" s="12" t="inlineStr">
        <is>
          <t>RPM</t>
        </is>
      </c>
      <c r="C8" s="12" t="inlineStr">
        <is>
          <t>홍경표, 장수빈</t>
        </is>
      </c>
      <c r="D8" s="12" t="inlineStr">
        <is>
          <t>스텐 환봉 Ø6 1m (371mm 2개로 절단)</t>
        </is>
      </c>
      <c r="E8" s="17" t="n">
        <v>4000</v>
      </c>
      <c r="F8" s="12" t="n">
        <v>2</v>
      </c>
      <c r="G8" s="17">
        <f>F8*E8</f>
        <v/>
      </c>
      <c r="H8" s="12" t="inlineStr">
        <is>
          <t>https://item.gmarket.co.kr/Item?goodscode=692264521</t>
        </is>
      </c>
    </row>
    <row r="9" ht="24.9" customHeight="1" s="15">
      <c r="A9" s="16" t="n">
        <v>7</v>
      </c>
      <c r="B9" s="12" t="inlineStr">
        <is>
          <t>RPM</t>
        </is>
      </c>
      <c r="C9" s="12" t="inlineStr">
        <is>
          <t>홍경표, 장수빈</t>
        </is>
      </c>
      <c r="D9" s="12" t="inlineStr">
        <is>
          <t>강철 평행핀 Ø5×25 (100개, 공차 0~+0.01)</t>
        </is>
      </c>
      <c r="E9" s="17" t="n">
        <v>27000</v>
      </c>
      <c r="F9" s="12" t="n">
        <v>1</v>
      </c>
      <c r="G9" s="17">
        <f>F9*E9</f>
        <v/>
      </c>
      <c r="H9" s="12" t="inlineStr">
        <is>
          <t>https://www.coupang.com/vp/products/9743421687</t>
        </is>
      </c>
    </row>
    <row r="10" ht="24.9" customHeight="1" s="15">
      <c r="A10" s="16" t="n">
        <v>8</v>
      </c>
      <c r="B10" s="12" t="inlineStr">
        <is>
          <t>RPM</t>
        </is>
      </c>
      <c r="C10" s="12" t="inlineStr">
        <is>
          <t>홍경표, 장수빈</t>
        </is>
      </c>
      <c r="D10" s="12" t="inlineStr">
        <is>
          <t>강철 평행핀 Ø5×40 (공차 0~+0.01)</t>
        </is>
      </c>
      <c r="E10" s="17" t="n">
        <v>440</v>
      </c>
      <c r="F10" s="12" t="n">
        <v>8</v>
      </c>
      <c r="G10" s="17">
        <f>F10*E10</f>
        <v/>
      </c>
      <c r="H10" s="12" t="inlineStr">
        <is>
          <t>https://www.coupang.com/vp/products/8532354386</t>
        </is>
      </c>
    </row>
    <row r="11" ht="24.9" customHeight="1" s="15">
      <c r="A11" s="16" t="n">
        <v>9</v>
      </c>
      <c r="B11" s="12" t="inlineStr">
        <is>
          <t>RPM</t>
        </is>
      </c>
      <c r="C11" s="12" t="inlineStr">
        <is>
          <t>홍경표, 장수빈</t>
        </is>
      </c>
      <c r="D11" s="12" t="inlineStr">
        <is>
          <t>NBR 고무 호스 (안지름 5 × 바깥지름 10, 약 2m)</t>
        </is>
      </c>
      <c r="E11" s="17" t="n">
        <v>8900</v>
      </c>
      <c r="F11" s="12" t="n">
        <v>1</v>
      </c>
      <c r="G11" s="17">
        <f>F11*E11</f>
        <v/>
      </c>
      <c r="H11" s="12" t="inlineStr">
        <is>
          <t>https://www.coupang.com/vp/products/8558801755</t>
        </is>
      </c>
    </row>
    <row r="12" ht="24.9" customHeight="1" s="15">
      <c r="A12" s="16" t="n">
        <v>10</v>
      </c>
      <c r="B12" s="12" t="inlineStr">
        <is>
          <t>RPM</t>
        </is>
      </c>
      <c r="C12" s="12" t="inlineStr">
        <is>
          <t>홍경표, 장수빈</t>
        </is>
      </c>
      <c r="D12" s="12" t="inlineStr">
        <is>
          <t>큰 와셔 DIN9021 M16 스텐 (17×50×3)</t>
        </is>
      </c>
      <c r="E12" s="17" t="n">
        <v>710</v>
      </c>
      <c r="F12" s="12" t="n">
        <v>2</v>
      </c>
      <c r="G12" s="17">
        <f>F12*E12</f>
        <v/>
      </c>
      <c r="H12" s="12" t="inlineStr">
        <is>
          <t>https://www.coupang.com/vp/products/6455358137</t>
        </is>
      </c>
    </row>
    <row r="13" ht="24.9" customHeight="1" s="15">
      <c r="A13" s="16" t="n">
        <v>11</v>
      </c>
      <c r="B13" s="12" t="inlineStr">
        <is>
          <t>RPM</t>
        </is>
      </c>
      <c r="C13" s="12" t="inlineStr">
        <is>
          <t>홍경표, 장수빈</t>
        </is>
      </c>
      <c r="D13" s="12" t="inlineStr">
        <is>
          <t>코르크 시트 (2mm, A4 2매)</t>
        </is>
      </c>
      <c r="E13" s="17" t="n">
        <v>1890</v>
      </c>
      <c r="F13" s="12" t="n">
        <v>1</v>
      </c>
      <c r="G13" s="17">
        <f>F13*E13</f>
        <v/>
      </c>
      <c r="H13" s="12" t="inlineStr">
        <is>
          <t>https://www.coupang.com/vp/products/4845669553</t>
        </is>
      </c>
    </row>
    <row r="14" ht="24.9" customHeight="1" s="15">
      <c r="A14" s="16" t="n">
        <v>12</v>
      </c>
      <c r="B14" s="12" t="inlineStr">
        <is>
          <t>RPM</t>
        </is>
      </c>
      <c r="C14" s="12" t="inlineStr">
        <is>
          <t>홍경표, 장수빈</t>
        </is>
      </c>
      <c r="D14" s="12" t="inlineStr">
        <is>
          <t>강구 (Ø6, 50개)</t>
        </is>
      </c>
      <c r="E14" s="17" t="n">
        <v>3500</v>
      </c>
      <c r="F14" s="12" t="n">
        <v>1</v>
      </c>
      <c r="G14" s="17">
        <f>F14*E14</f>
        <v/>
      </c>
      <c r="H14" s="12" t="inlineStr">
        <is>
          <t>https://www.coupang.com/vp/products/9638493021</t>
        </is>
      </c>
    </row>
    <row r="15" ht="24.9" customHeight="1" s="15">
      <c r="A15" s="16" t="n">
        <v>13</v>
      </c>
      <c r="B15" s="12" t="inlineStr">
        <is>
          <t>RPM</t>
        </is>
      </c>
      <c r="C15" s="12" t="inlineStr">
        <is>
          <t>홍경표, 장수빈</t>
        </is>
      </c>
      <c r="D15" s="12" t="inlineStr">
        <is>
          <t>샤프트 칼라 Ø6 (안 6.1 · 바깥 11 · 폭 6, 10개)</t>
        </is>
      </c>
      <c r="E15" s="17" t="n">
        <v>14800</v>
      </c>
      <c r="F15" s="12" t="n">
        <v>1</v>
      </c>
      <c r="G15" s="17">
        <f>F15*E15</f>
        <v/>
      </c>
      <c r="H15" s="12" t="inlineStr">
        <is>
          <t>https://www.coupang.com/vp/products/9669133315</t>
        </is>
      </c>
    </row>
    <row r="16" ht="24.9" customHeight="1" s="15">
      <c r="A16" s="16" t="n">
        <v>14</v>
      </c>
      <c r="B16" s="12" t="inlineStr">
        <is>
          <t>RPM</t>
        </is>
      </c>
      <c r="C16" s="12" t="inlineStr">
        <is>
          <t>홍경표, 장수빈</t>
        </is>
      </c>
      <c r="D16" s="12" t="inlineStr">
        <is>
          <t>압축 스프링 맞춤 제작 (C252 동등) (SUS304 선경 1.6 · 외경 18.0 · 자유장 32 · 총 7권(유효 5) · 양끝 연삭)</t>
        </is>
      </c>
      <c r="E16" s="17" t="n">
        <v>3000</v>
      </c>
      <c r="F16" s="12" t="n">
        <v>12</v>
      </c>
      <c r="G16" s="17">
        <f>F16*E16</f>
        <v/>
      </c>
      <c r="H16" s="12" t="inlineStr">
        <is>
          <t>https://www.coupang.com/np/search?q=%EC%98%A4%EC%BC%80%EC%9D%B4%EC%8A%A4%ED%94%84%EB%A7%81%20%EB%A7%9E%EC%B6%A4%20%EC%95%95%EC%B6%95%EC%8A%A4%ED%94%84%EB%A7%81</t>
        </is>
      </c>
    </row>
    <row r="17" ht="24.9" customHeight="1" s="15">
      <c r="A17" s="16" t="n">
        <v>15</v>
      </c>
      <c r="B17" s="12" t="inlineStr">
        <is>
          <t>RPM</t>
        </is>
      </c>
      <c r="C17" s="12" t="inlineStr">
        <is>
          <t>홍경표, 장수빈</t>
        </is>
      </c>
      <c r="D17" s="12" t="inlineStr">
        <is>
          <t>압축 스프링 맞춤 제작 (C147 동등) (SUS304 선경 0.45 · 외경 5.0 · 자유장 10 · 총 9권(유효 7))</t>
        </is>
      </c>
      <c r="E17" s="17" t="n">
        <v>2000</v>
      </c>
      <c r="F17" s="12" t="n">
        <v>6</v>
      </c>
      <c r="G17" s="17">
        <f>F17*E17</f>
        <v/>
      </c>
      <c r="H17" s="12" t="inlineStr">
        <is>
          <t>https://www.coupang.com/np/search?q=%EC%98%A4%EC%BC%80%EC%9D%B4%EC%8A%A4%ED%94%84%EB%A7%81%20%EB%A7%9E%EC%B6%A4%20%EC%95%95%EC%B6%95%EC%8A%A4%ED%94%84%EB%A7%81</t>
        </is>
      </c>
    </row>
    <row r="18" ht="24.9" customHeight="1" s="15">
      <c r="A18" s="16" t="n">
        <v>16</v>
      </c>
      <c r="B18" s="12" t="inlineStr">
        <is>
          <t>RPM</t>
        </is>
      </c>
      <c r="C18" s="12" t="inlineStr">
        <is>
          <t>홍경표, 장수빈</t>
        </is>
      </c>
      <c r="D18" s="12" t="inlineStr">
        <is>
          <t>M3 렌치볼트 (M3×8)</t>
        </is>
      </c>
      <c r="E18" s="17" t="n">
        <v>50</v>
      </c>
      <c r="F18" s="12" t="n">
        <v>11</v>
      </c>
      <c r="G18" s="17">
        <f>F18*E18</f>
        <v/>
      </c>
      <c r="H18" s="12" t="inlineStr">
        <is>
          <t>https://www.coupang.com/vp/products/6455358137</t>
        </is>
      </c>
    </row>
    <row r="19" ht="24.9" customHeight="1" s="15">
      <c r="A19" s="16" t="n">
        <v>17</v>
      </c>
      <c r="B19" s="12" t="inlineStr">
        <is>
          <t>RPM</t>
        </is>
      </c>
      <c r="C19" s="12" t="inlineStr">
        <is>
          <t>홍경표, 장수빈</t>
        </is>
      </c>
      <c r="D19" s="12" t="inlineStr">
        <is>
          <t>M3 렌치볼트 (M3×10)</t>
        </is>
      </c>
      <c r="E19" s="17" t="n">
        <v>60</v>
      </c>
      <c r="F19" s="12" t="n">
        <v>2</v>
      </c>
      <c r="G19" s="17">
        <f>F19*E19</f>
        <v/>
      </c>
      <c r="H19" s="12" t="inlineStr">
        <is>
          <t>https://www.coupang.com/vp/products/6455358137</t>
        </is>
      </c>
    </row>
    <row r="20" ht="24.9" customHeight="1" s="15">
      <c r="A20" s="16" t="n">
        <v>18</v>
      </c>
      <c r="B20" s="12" t="inlineStr">
        <is>
          <t>RPM</t>
        </is>
      </c>
      <c r="C20" s="12" t="inlineStr">
        <is>
          <t>홍경표, 장수빈</t>
        </is>
      </c>
      <c r="D20" s="12" t="inlineStr">
        <is>
          <t>M3 렌치볼트 (M3×12)</t>
        </is>
      </c>
      <c r="E20" s="17" t="n">
        <v>60</v>
      </c>
      <c r="F20" s="12" t="n">
        <v>40</v>
      </c>
      <c r="G20" s="17">
        <f>F20*E20</f>
        <v/>
      </c>
      <c r="H20" s="12" t="inlineStr">
        <is>
          <t>https://www.coupang.com/vp/products/6455358137</t>
        </is>
      </c>
    </row>
    <row r="21" ht="24.9" customHeight="1" s="15">
      <c r="A21" s="16" t="n">
        <v>19</v>
      </c>
      <c r="B21" s="12" t="inlineStr">
        <is>
          <t>RPM</t>
        </is>
      </c>
      <c r="C21" s="12" t="inlineStr">
        <is>
          <t>홍경표, 장수빈</t>
        </is>
      </c>
      <c r="D21" s="12" t="inlineStr">
        <is>
          <t>M3 렌치볼트 (M3×16)</t>
        </is>
      </c>
      <c r="E21" s="17" t="n">
        <v>100</v>
      </c>
      <c r="F21" s="12" t="n">
        <v>3</v>
      </c>
      <c r="G21" s="17">
        <f>F21*E21</f>
        <v/>
      </c>
      <c r="H21" s="12" t="inlineStr">
        <is>
          <t>https://www.coupang.com/vp/products/6455358137</t>
        </is>
      </c>
    </row>
    <row r="22" ht="24.9" customHeight="1" s="15">
      <c r="A22" s="16" t="n">
        <v>20</v>
      </c>
      <c r="B22" s="12" t="inlineStr">
        <is>
          <t>RPM</t>
        </is>
      </c>
      <c r="C22" s="12" t="inlineStr">
        <is>
          <t>홍경표, 장수빈</t>
        </is>
      </c>
      <c r="D22" s="12" t="inlineStr">
        <is>
          <t>M3 렌치볼트 + 육각너트 (M3×20)</t>
        </is>
      </c>
      <c r="E22" s="17" t="n">
        <v>130</v>
      </c>
      <c r="F22" s="12" t="n">
        <v>11</v>
      </c>
      <c r="G22" s="17">
        <f>F22*E22</f>
        <v/>
      </c>
      <c r="H22" s="12" t="inlineStr">
        <is>
          <t>https://www.coupang.com/vp/products/6455358137</t>
        </is>
      </c>
    </row>
    <row r="23" ht="24.9" customHeight="1" s="15">
      <c r="A23" s="16" t="n">
        <v>21</v>
      </c>
      <c r="B23" s="12" t="inlineStr">
        <is>
          <t>RPM</t>
        </is>
      </c>
      <c r="C23" s="12" t="inlineStr">
        <is>
          <t>홍경표, 장수빈</t>
        </is>
      </c>
      <c r="D23" s="12" t="inlineStr">
        <is>
          <t>M3 렌치볼트 (M3×25)</t>
        </is>
      </c>
      <c r="E23" s="17" t="n">
        <v>70</v>
      </c>
      <c r="F23" s="12" t="n">
        <v>8</v>
      </c>
      <c r="G23" s="17">
        <f>F23*E23</f>
        <v/>
      </c>
      <c r="H23" s="12" t="inlineStr">
        <is>
          <t>https://www.coupang.com/vp/products/6455358137</t>
        </is>
      </c>
    </row>
    <row r="24" ht="24.9" customHeight="1" s="15">
      <c r="A24" s="16" t="n">
        <v>22</v>
      </c>
      <c r="B24" s="12" t="inlineStr">
        <is>
          <t>RPM</t>
        </is>
      </c>
      <c r="C24" s="12" t="inlineStr">
        <is>
          <t>홍경표, 장수빈</t>
        </is>
      </c>
      <c r="D24" s="12" t="inlineStr">
        <is>
          <t>M3 렌치볼트 (M3×50)</t>
        </is>
      </c>
      <c r="E24" s="17" t="n">
        <v>170</v>
      </c>
      <c r="F24" s="12" t="n">
        <v>5</v>
      </c>
      <c r="G24" s="17">
        <f>F24*E24</f>
        <v/>
      </c>
      <c r="H24" s="12" t="inlineStr">
        <is>
          <t>https://www.coupang.com/vp/products/6455358137</t>
        </is>
      </c>
    </row>
    <row r="25" ht="24.9" customHeight="1" s="15">
      <c r="A25" s="16" t="n">
        <v>23</v>
      </c>
      <c r="B25" s="12" t="inlineStr">
        <is>
          <t>RPM</t>
        </is>
      </c>
      <c r="C25" s="12" t="inlineStr">
        <is>
          <t>홍경표, 장수빈</t>
        </is>
      </c>
      <c r="D25" s="12" t="inlineStr">
        <is>
          <t>M3 무두볼트 (오목끝) (M3×8)</t>
        </is>
      </c>
      <c r="E25" s="17" t="n">
        <v>60</v>
      </c>
      <c r="F25" s="12" t="n">
        <v>3</v>
      </c>
      <c r="G25" s="17">
        <f>F25*E25</f>
        <v/>
      </c>
      <c r="H25" s="12" t="inlineStr">
        <is>
          <t>https://www.coupang.com/vp/products/7974822838</t>
        </is>
      </c>
    </row>
    <row r="26" ht="24.9" customHeight="1" s="15">
      <c r="A26" s="16" t="n">
        <v>24</v>
      </c>
      <c r="B26" s="12" t="inlineStr">
        <is>
          <t>RPM</t>
        </is>
      </c>
      <c r="C26" s="12" t="inlineStr">
        <is>
          <t>홍경표, 장수빈</t>
        </is>
      </c>
      <c r="D26" s="12" t="inlineStr">
        <is>
          <t>M3 평와셔 스텐 (바깥 8 × 두께 0.5)</t>
        </is>
      </c>
      <c r="E26" s="17" t="n">
        <v>20</v>
      </c>
      <c r="F26" s="12" t="n">
        <v>20</v>
      </c>
      <c r="G26" s="17">
        <f>F26*E26</f>
        <v/>
      </c>
      <c r="H26" s="12" t="inlineStr">
        <is>
          <t>https://www.coupang.com/vp/products/6455358137</t>
        </is>
      </c>
    </row>
    <row r="27" ht="24.9" customHeight="1" s="15">
      <c r="A27" s="16" t="n">
        <v>25</v>
      </c>
      <c r="B27" s="12" t="inlineStr">
        <is>
          <t>RPM</t>
        </is>
      </c>
      <c r="C27" s="12" t="inlineStr">
        <is>
          <t>홍경표, 장수빈</t>
        </is>
      </c>
      <c r="D27" s="12" t="inlineStr">
        <is>
          <t>M4 렌치볼트 + 너트 (M4×16)</t>
        </is>
      </c>
      <c r="E27" s="17" t="n">
        <v>170</v>
      </c>
      <c r="F27" s="12" t="n">
        <v>5</v>
      </c>
      <c r="G27" s="17">
        <f>F27*E27</f>
        <v/>
      </c>
      <c r="H27" s="12" t="inlineStr">
        <is>
          <t>https://www.coupang.com/vp/products/6455358137</t>
        </is>
      </c>
    </row>
    <row r="28" ht="24.9" customHeight="1" s="15">
      <c r="A28" s="16" t="n">
        <v>26</v>
      </c>
      <c r="B28" s="12" t="inlineStr">
        <is>
          <t>RPM</t>
        </is>
      </c>
      <c r="C28" s="12" t="inlineStr">
        <is>
          <t>홍경표, 장수빈</t>
        </is>
      </c>
      <c r="D28" s="12" t="inlineStr">
        <is>
          <t>M4 렌치볼트 + 너트 (M4×25)</t>
        </is>
      </c>
      <c r="E28" s="17" t="n">
        <v>160</v>
      </c>
      <c r="F28" s="12" t="n">
        <v>5</v>
      </c>
      <c r="G28" s="17">
        <f>F28*E28</f>
        <v/>
      </c>
      <c r="H28" s="12" t="inlineStr">
        <is>
          <t>https://www.coupang.com/vp/products/6455358137</t>
        </is>
      </c>
    </row>
    <row r="29" ht="24.9" customHeight="1" s="15">
      <c r="A29" s="16" t="n">
        <v>27</v>
      </c>
      <c r="B29" s="12" t="inlineStr">
        <is>
          <t>RPM</t>
        </is>
      </c>
      <c r="C29" s="12" t="inlineStr">
        <is>
          <t>홍경표, 장수빈</t>
        </is>
      </c>
      <c r="D29" s="12" t="inlineStr">
        <is>
          <t>M4 렌치볼트 + 너트 (M4×30)</t>
        </is>
      </c>
      <c r="E29" s="17" t="n">
        <v>190</v>
      </c>
      <c r="F29" s="12" t="n">
        <v>23</v>
      </c>
      <c r="G29" s="17">
        <f>F29*E29</f>
        <v/>
      </c>
      <c r="H29" s="12" t="inlineStr">
        <is>
          <t>https://www.coupang.com/vp/products/6455358137</t>
        </is>
      </c>
    </row>
    <row r="30" ht="24.9" customHeight="1" s="15">
      <c r="A30" s="16" t="n">
        <v>28</v>
      </c>
      <c r="B30" s="12" t="inlineStr">
        <is>
          <t>RPM</t>
        </is>
      </c>
      <c r="C30" s="12" t="inlineStr">
        <is>
          <t>홍경표, 장수빈</t>
        </is>
      </c>
      <c r="D30" s="12" t="inlineStr">
        <is>
          <t>M4 렌치볼트 + 너트 (M4×60)</t>
        </is>
      </c>
      <c r="E30" s="17" t="n">
        <v>350</v>
      </c>
      <c r="F30" s="12" t="n">
        <v>4</v>
      </c>
      <c r="G30" s="17">
        <f>F30*E30</f>
        <v/>
      </c>
      <c r="H30" s="12" t="inlineStr">
        <is>
          <t>https://www.coupang.com/vp/products/6455358137</t>
        </is>
      </c>
    </row>
    <row r="31" ht="24.9" customHeight="1" s="15">
      <c r="A31" s="16" t="n">
        <v>29</v>
      </c>
      <c r="B31" s="12" t="inlineStr">
        <is>
          <t>RPM</t>
        </is>
      </c>
      <c r="C31" s="12" t="inlineStr">
        <is>
          <t>홍경표, 장수빈</t>
        </is>
      </c>
      <c r="D31" s="12" t="inlineStr">
        <is>
          <t>M5 렌치볼트 + 너트 (M5×10)</t>
        </is>
      </c>
      <c r="E31" s="17" t="n">
        <v>200</v>
      </c>
      <c r="F31" s="12" t="n">
        <v>4</v>
      </c>
      <c r="G31" s="17">
        <f>F31*E31</f>
        <v/>
      </c>
      <c r="H31" s="12" t="inlineStr">
        <is>
          <t>https://www.coupang.com/vp/products/6455358137</t>
        </is>
      </c>
    </row>
    <row r="32" ht="24.9" customHeight="1" s="15">
      <c r="A32" s="16" t="n">
        <v>30</v>
      </c>
      <c r="B32" s="12" t="inlineStr">
        <is>
          <t>RPM</t>
        </is>
      </c>
      <c r="C32" s="12" t="inlineStr">
        <is>
          <t>홍경표, 장수빈</t>
        </is>
      </c>
      <c r="D32" s="12" t="inlineStr">
        <is>
          <t>M5 렌치볼트 + 너트 (M5×20)</t>
        </is>
      </c>
      <c r="E32" s="17" t="n">
        <v>230</v>
      </c>
      <c r="F32" s="12" t="n">
        <v>4</v>
      </c>
      <c r="G32" s="17">
        <f>F32*E32</f>
        <v/>
      </c>
      <c r="H32" s="12" t="inlineStr">
        <is>
          <t>https://www.coupang.com/vp/products/6455358137</t>
        </is>
      </c>
    </row>
    <row r="33" ht="24.9" customHeight="1" s="15">
      <c r="A33" s="16" t="n">
        <v>31</v>
      </c>
      <c r="B33" s="12" t="inlineStr">
        <is>
          <t>RPM</t>
        </is>
      </c>
      <c r="C33" s="12" t="inlineStr">
        <is>
          <t>홍경표, 장수빈</t>
        </is>
      </c>
      <c r="D33" s="12" t="inlineStr">
        <is>
          <t>M5 조정용 볼트 세트 (M5×8 3 + M5×12 3 + M5 평와셔 3)</t>
        </is>
      </c>
      <c r="E33" s="17" t="n">
        <v>720</v>
      </c>
      <c r="F33" s="12" t="n">
        <v>1</v>
      </c>
      <c r="G33" s="17">
        <f>F33*E33</f>
        <v/>
      </c>
      <c r="H33" s="12" t="inlineStr">
        <is>
          <t>https://www.coupang.com/vp/products/6455358137</t>
        </is>
      </c>
    </row>
    <row r="34" ht="24.9" customHeight="1" s="15">
      <c r="A34" s="16" t="n">
        <v>32</v>
      </c>
      <c r="B34" s="12" t="inlineStr">
        <is>
          <t>RPM</t>
        </is>
      </c>
      <c r="C34" s="12" t="inlineStr">
        <is>
          <t>홍경표, 장수빈</t>
        </is>
      </c>
      <c r="D34" s="12" t="inlineStr">
        <is>
          <t>M5 렌치볼트 + 나일론 너트 (M5×70)</t>
        </is>
      </c>
      <c r="E34" s="17" t="n">
        <v>550</v>
      </c>
      <c r="F34" s="12" t="n">
        <v>2</v>
      </c>
      <c r="G34" s="17">
        <f>F34*E34</f>
        <v/>
      </c>
      <c r="H34" s="12" t="inlineStr">
        <is>
          <t>https://www.coupang.com/vp/products/6455358137</t>
        </is>
      </c>
    </row>
    <row r="35" ht="24.9" customHeight="1" s="15">
      <c r="A35" s="16" t="n">
        <v>33</v>
      </c>
      <c r="B35" s="12" t="inlineStr">
        <is>
          <t>RPM</t>
        </is>
      </c>
      <c r="C35" s="12" t="inlineStr">
        <is>
          <t>홍경표, 장수빈</t>
        </is>
      </c>
      <c r="D35" s="12" t="inlineStr">
        <is>
          <t>M6 렌치볼트 (M6×25)</t>
        </is>
      </c>
      <c r="E35" s="17" t="n">
        <v>210</v>
      </c>
      <c r="F35" s="12" t="n">
        <v>7</v>
      </c>
      <c r="G35" s="17">
        <f>F35*E35</f>
        <v/>
      </c>
      <c r="H35" s="12" t="inlineStr">
        <is>
          <t>https://www.coupang.com/vp/products/6455358137</t>
        </is>
      </c>
    </row>
    <row r="36" ht="24.9" customHeight="1" s="15">
      <c r="A36" s="16" t="n">
        <v>34</v>
      </c>
      <c r="B36" s="12" t="inlineStr">
        <is>
          <t>RPM</t>
        </is>
      </c>
      <c r="C36" s="12" t="inlineStr">
        <is>
          <t>홍경표, 장수빈</t>
        </is>
      </c>
      <c r="D36" s="12" t="inlineStr">
        <is>
          <t>M6 너트 (M6 (맞변 10))</t>
        </is>
      </c>
      <c r="E36" s="17" t="n">
        <v>60</v>
      </c>
      <c r="F36" s="12" t="n">
        <v>5</v>
      </c>
      <c r="G36" s="17">
        <f>F36*E36</f>
        <v/>
      </c>
      <c r="H36" s="12" t="inlineStr">
        <is>
          <t>https://www.coupang.com/vp/products/7687671245</t>
        </is>
      </c>
    </row>
    <row r="37" ht="24.9" customHeight="1" s="15">
      <c r="A37" s="16" t="n">
        <v>35</v>
      </c>
      <c r="B37" s="12" t="inlineStr">
        <is>
          <t>RPM</t>
        </is>
      </c>
      <c r="C37" s="12" t="inlineStr">
        <is>
          <t>홍경표, 장수빈</t>
        </is>
      </c>
      <c r="D37" s="12" t="inlineStr">
        <is>
          <t>M6 나일론 너트 (M6 (DIN985))</t>
        </is>
      </c>
      <c r="E37" s="17" t="n">
        <v>170</v>
      </c>
      <c r="F37" s="12" t="n">
        <v>3</v>
      </c>
      <c r="G37" s="17">
        <f>F37*E37</f>
        <v/>
      </c>
      <c r="H37" s="12" t="inlineStr">
        <is>
          <t>https://www.coupang.com/vp/products/6280971320</t>
        </is>
      </c>
    </row>
    <row r="38" ht="24.9" customHeight="1" s="15">
      <c r="A38" s="16" t="n">
        <v>36</v>
      </c>
      <c r="B38" s="12" t="inlineStr">
        <is>
          <t>RPM</t>
        </is>
      </c>
      <c r="C38" s="12" t="inlineStr">
        <is>
          <t>홍경표, 장수빈</t>
        </is>
      </c>
      <c r="D38" s="12" t="inlineStr">
        <is>
          <t>목재 나사 스텐 둥근머리 (4×16, 26개 봉)</t>
        </is>
      </c>
      <c r="E38" s="17" t="n">
        <v>1150</v>
      </c>
      <c r="F38" s="12" t="n">
        <v>2</v>
      </c>
      <c r="G38" s="17">
        <f>F38*E38</f>
        <v/>
      </c>
      <c r="H38" s="12" t="inlineStr">
        <is>
          <t>https://www.coupang.com/vp/products/7760964029</t>
        </is>
      </c>
    </row>
    <row r="39" ht="24.9" customHeight="1" s="15">
      <c r="A39" s="16" t="n">
        <v>37</v>
      </c>
      <c r="B39" s="12" t="inlineStr">
        <is>
          <t>RPM</t>
        </is>
      </c>
      <c r="C39" s="12" t="inlineStr">
        <is>
          <t>홍경표, 장수빈</t>
        </is>
      </c>
      <c r="D39" s="12" t="inlineStr">
        <is>
          <t>2액형 에폭시 접착제 (주사기형 25ml)</t>
        </is>
      </c>
      <c r="E39" s="17" t="n">
        <v>4440</v>
      </c>
      <c r="F39" s="12" t="n">
        <v>2</v>
      </c>
      <c r="G39" s="17">
        <f>F39*E39</f>
        <v/>
      </c>
      <c r="H39" s="12" t="inlineStr">
        <is>
          <t>https://www.coupang.com/vp/products/2725054</t>
        </is>
      </c>
    </row>
    <row r="40" ht="24.9" customHeight="1" s="15">
      <c r="A40" s="16" t="n">
        <v>38</v>
      </c>
      <c r="B40" s="12" t="inlineStr">
        <is>
          <t>RPM</t>
        </is>
      </c>
      <c r="C40" s="12" t="inlineStr">
        <is>
          <t>홍경표, 장수빈</t>
        </is>
      </c>
      <c r="D40" s="12" t="inlineStr">
        <is>
          <t>순간접착제 (젤 타입 2개)</t>
        </is>
      </c>
      <c r="E40" s="17" t="n">
        <v>3000</v>
      </c>
      <c r="F40" s="12" t="n">
        <v>1</v>
      </c>
      <c r="G40" s="17">
        <f>F40*E40</f>
        <v/>
      </c>
      <c r="H40" s="12" t="inlineStr">
        <is>
          <t>https://www.coupang.com/vp/products/8643897709</t>
        </is>
      </c>
    </row>
    <row r="41" ht="24.9" customHeight="1" s="15">
      <c r="A41" s="16" t="n">
        <v>39</v>
      </c>
      <c r="B41" s="12" t="inlineStr">
        <is>
          <t>RPM</t>
        </is>
      </c>
      <c r="C41" s="12" t="inlineStr">
        <is>
          <t>홍경표, 장수빈</t>
        </is>
      </c>
      <c r="D41" s="12" t="inlineStr">
        <is>
          <t>자전거 브레이크 케이블 세트 (속선 2 + 아우터 Ø5 + 끝 캡)</t>
        </is>
      </c>
      <c r="E41" s="17" t="n">
        <v>6900</v>
      </c>
      <c r="F41" s="12" t="n">
        <v>1</v>
      </c>
      <c r="G41" s="17">
        <f>F41*E41</f>
        <v/>
      </c>
      <c r="H41" s="12" t="inlineStr">
        <is>
          <t>https://www.coupang.com/vp/products/8305908512</t>
        </is>
      </c>
    </row>
    <row r="42" ht="24.9" customHeight="1" s="15">
      <c r="A42" s="16" t="n">
        <v>40</v>
      </c>
      <c r="B42" s="12" t="inlineStr">
        <is>
          <t>RPM</t>
        </is>
      </c>
      <c r="C42" s="12" t="inlineStr">
        <is>
          <t>홍경표, 장수빈</t>
        </is>
      </c>
      <c r="D42" s="12" t="inlineStr">
        <is>
          <t>MDF 판 (12T 300×1200 재단)</t>
        </is>
      </c>
      <c r="E42" s="17" t="n">
        <v>9600</v>
      </c>
      <c r="F42" s="12" t="n">
        <v>1</v>
      </c>
      <c r="G42" s="17">
        <f>F42*E42</f>
        <v/>
      </c>
      <c r="H42" s="12" t="inlineStr">
        <is>
          <t>https://www.coupang.com/vp/products/71452005</t>
        </is>
      </c>
    </row>
    <row r="43" ht="24.9" customHeight="1" s="15">
      <c r="A43" s="16" t="n">
        <v>41</v>
      </c>
      <c r="B43" s="12" t="inlineStr">
        <is>
          <t>RPM</t>
        </is>
      </c>
      <c r="C43" s="12" t="inlineStr">
        <is>
          <t>홍경표, 장수빈</t>
        </is>
      </c>
      <c r="D43" s="12" t="inlineStr">
        <is>
          <t>투명 아크릴 3T 치수 재단 (250×321)</t>
        </is>
      </c>
      <c r="E43" s="17" t="n">
        <v>9000</v>
      </c>
      <c r="F43" s="12" t="n">
        <v>1</v>
      </c>
      <c r="G43" s="17">
        <f>F43*E43</f>
        <v/>
      </c>
      <c r="H43" s="12" t="inlineStr">
        <is>
          <t>https://www.11st.co.kr/products/4918717495</t>
        </is>
      </c>
    </row>
    <row r="44" ht="24.9" customHeight="1" s="15">
      <c r="A44" s="16" t="n">
        <v>42</v>
      </c>
      <c r="B44" s="12" t="inlineStr">
        <is>
          <t>RPM</t>
        </is>
      </c>
      <c r="C44" s="12" t="inlineStr">
        <is>
          <t>홍경표, 장수빈</t>
        </is>
      </c>
      <c r="D44" s="12" t="inlineStr">
        <is>
          <t>투명 아크릴 3T 치수 재단 (200×321)</t>
        </is>
      </c>
      <c r="E44" s="17" t="n">
        <v>9000</v>
      </c>
      <c r="F44" s="12" t="n">
        <v>2</v>
      </c>
      <c r="G44" s="17">
        <f>F44*E44</f>
        <v/>
      </c>
      <c r="H44" s="12" t="inlineStr">
        <is>
          <t>https://www.11st.co.kr/products/4918717495</t>
        </is>
      </c>
    </row>
    <row r="45" ht="24.9" customHeight="1" s="15">
      <c r="A45" s="16" t="n">
        <v>43</v>
      </c>
      <c r="B45" s="12" t="inlineStr">
        <is>
          <t>RPM</t>
        </is>
      </c>
      <c r="C45" s="12" t="inlineStr">
        <is>
          <t>홍경표, 장수빈</t>
        </is>
      </c>
      <c r="D45" s="12" t="inlineStr">
        <is>
          <t>투명 아크릴 A3 3T (여분) (297×420)</t>
        </is>
      </c>
      <c r="E45" s="17" t="n">
        <v>9000</v>
      </c>
      <c r="F45" s="12" t="n">
        <v>1</v>
      </c>
      <c r="G45" s="17">
        <f>F45*E45</f>
        <v/>
      </c>
      <c r="H45" s="12" t="inlineStr">
        <is>
          <t>https://www.coupang.com/vp/products/9593337115</t>
        </is>
      </c>
    </row>
    <row r="46" ht="24.9" customHeight="1" s="15">
      <c r="A46" s="16" t="n">
        <v>44</v>
      </c>
      <c r="B46" s="12" t="inlineStr">
        <is>
          <t>RPM</t>
        </is>
      </c>
      <c r="C46" s="12" t="inlineStr">
        <is>
          <t>홍경표, 장수빈</t>
        </is>
      </c>
      <c r="D46" s="12" t="inlineStr">
        <is>
          <t>PTFE 합성 그리스 (슈퍼루브) (85g)</t>
        </is>
      </c>
      <c r="E46" s="17" t="n">
        <v>12000</v>
      </c>
      <c r="F46" s="12" t="n">
        <v>1</v>
      </c>
      <c r="G46" s="17">
        <f>F46*E46</f>
        <v/>
      </c>
      <c r="H46" s="12" t="inlineStr">
        <is>
          <t>https://www.11st.co.kr/products/5099555102</t>
        </is>
      </c>
    </row>
    <row r="47" ht="24.9" customHeight="1" s="15">
      <c r="A47" s="16" t="n">
        <v>45</v>
      </c>
      <c r="B47" s="12" t="inlineStr">
        <is>
          <t>RPM</t>
        </is>
      </c>
      <c r="C47" s="12" t="inlineStr">
        <is>
          <t>홍경표, 장수빈</t>
        </is>
      </c>
      <c r="D47" s="12" t="inlineStr">
        <is>
          <t>나사 고정제 록타이트 243 (10ml)</t>
        </is>
      </c>
      <c r="E47" s="17" t="n">
        <v>7790</v>
      </c>
      <c r="F47" s="12" t="n">
        <v>1</v>
      </c>
      <c r="G47" s="17">
        <f>F47*E47</f>
        <v/>
      </c>
      <c r="H47" s="12" t="inlineStr">
        <is>
          <t>https://www.11st.co.kr/products/7426834008</t>
        </is>
      </c>
    </row>
    <row r="48" ht="24.9" customHeight="1" s="15">
      <c r="A48" s="16" t="n">
        <v>46</v>
      </c>
      <c r="B48" s="12" t="inlineStr">
        <is>
          <t>RPM</t>
        </is>
      </c>
      <c r="C48" s="12" t="inlineStr">
        <is>
          <t>홍경표, 장수빈</t>
        </is>
      </c>
      <c r="D48" s="12" t="inlineStr">
        <is>
          <t>열수축 튜브 세트 (530개)</t>
        </is>
      </c>
      <c r="E48" s="17" t="n">
        <v>5000</v>
      </c>
      <c r="F48" s="12" t="n">
        <v>1</v>
      </c>
      <c r="G48" s="17">
        <f>F48*E48</f>
        <v/>
      </c>
      <c r="H48" s="12" t="inlineStr">
        <is>
          <t>https://www.11st.co.kr/products/2070330612</t>
        </is>
      </c>
    </row>
    <row r="49" ht="24.9" customHeight="1" s="15">
      <c r="A49" s="16" t="n">
        <v>47</v>
      </c>
      <c r="B49" s="12" t="inlineStr">
        <is>
          <t>RPM</t>
        </is>
      </c>
      <c r="C49" s="12" t="inlineStr">
        <is>
          <t>홍경표, 장수빈</t>
        </is>
      </c>
      <c r="D49" s="12" t="inlineStr">
        <is>
          <t>케이블 타이 (100개)</t>
        </is>
      </c>
      <c r="E49" s="17" t="n">
        <v>2000</v>
      </c>
      <c r="F49" s="12" t="n">
        <v>1</v>
      </c>
      <c r="G49" s="17">
        <f>F49*E49</f>
        <v/>
      </c>
      <c r="H49" s="12" t="inlineStr">
        <is>
          <t>https://www.11st.co.kr/products/2283460419</t>
        </is>
      </c>
    </row>
    <row r="50" ht="24.9" customHeight="1" s="15">
      <c r="A50" s="16" t="n">
        <v>48</v>
      </c>
      <c r="B50" s="12" t="inlineStr">
        <is>
          <t>RPM</t>
        </is>
      </c>
      <c r="C50" s="12" t="inlineStr">
        <is>
          <t>홍경표, 장수빈</t>
        </is>
      </c>
      <c r="D50" s="12" t="inlineStr">
        <is>
          <t>신호선 22AWG 연선 (6색, 색마다 5m)</t>
        </is>
      </c>
      <c r="E50" s="17" t="n">
        <v>10000</v>
      </c>
      <c r="F50" s="12" t="n">
        <v>1</v>
      </c>
      <c r="G50" s="17">
        <f>F50*E50</f>
        <v/>
      </c>
      <c r="H50" s="12" t="inlineStr">
        <is>
          <t>https://www.11st.co.kr/products/679503128</t>
        </is>
      </c>
    </row>
    <row r="51" ht="24.9" customHeight="1" s="15">
      <c r="A51" s="16" t="n">
        <v>49</v>
      </c>
      <c r="B51" s="12" t="inlineStr">
        <is>
          <t>RPM</t>
        </is>
      </c>
      <c r="C51" s="12" t="inlineStr">
        <is>
          <t>홍경표, 장수빈</t>
        </is>
      </c>
      <c r="D51" s="12" t="inlineStr">
        <is>
          <t>디지털 멀티미터 (오토 레인지)</t>
        </is>
      </c>
      <c r="E51" s="17" t="n">
        <v>15500</v>
      </c>
      <c r="F51" s="12" t="n">
        <v>1</v>
      </c>
      <c r="G51" s="17">
        <f>F51*E51</f>
        <v/>
      </c>
      <c r="H51" s="12" t="inlineStr">
        <is>
          <t>https://www.11st.co.kr/products/1276168274</t>
        </is>
      </c>
    </row>
    <row r="52" ht="24.9" customHeight="1" s="15">
      <c r="A52" s="16" t="n">
        <v>50</v>
      </c>
      <c r="B52" s="12" t="inlineStr">
        <is>
          <t>RPM</t>
        </is>
      </c>
      <c r="C52" s="12" t="inlineStr">
        <is>
          <t>홍경표, 장수빈</t>
        </is>
      </c>
      <c r="D52" s="12" t="inlineStr">
        <is>
          <t>HSS 드릴 날 세트 (19개 (1~10mm))</t>
        </is>
      </c>
      <c r="E52" s="17" t="n">
        <v>7740</v>
      </c>
      <c r="F52" s="12" t="n">
        <v>1</v>
      </c>
      <c r="G52" s="17">
        <f>F52*E52</f>
        <v/>
      </c>
      <c r="H52" s="12" t="inlineStr">
        <is>
          <t>https://www.11st.co.kr/products/2450926293</t>
        </is>
      </c>
    </row>
    <row r="53" ht="24.9" customHeight="1" s="15">
      <c r="A53" s="16" t="n">
        <v>51</v>
      </c>
      <c r="B53" s="12" t="inlineStr">
        <is>
          <t>RPM</t>
        </is>
      </c>
      <c r="C53" s="12" t="inlineStr">
        <is>
          <t>홍경표, 장수빈</t>
        </is>
      </c>
      <c r="D53" s="12" t="inlineStr">
        <is>
          <t>아두이노 레오나르도 R3 + USB 케이블 (ATmega32u4)</t>
        </is>
      </c>
      <c r="E53" s="17" t="n">
        <v>9200</v>
      </c>
      <c r="F53" s="12" t="n">
        <v>2</v>
      </c>
      <c r="G53" s="17">
        <f>F53*E53</f>
        <v/>
      </c>
      <c r="H53" s="12" t="inlineStr">
        <is>
          <t>https://www.coupang.com/vp/products/1119152790</t>
        </is>
      </c>
    </row>
    <row r="54" ht="24.9" customHeight="1" s="15">
      <c r="A54" s="16" t="n">
        <v>52</v>
      </c>
      <c r="B54" s="12" t="inlineStr">
        <is>
          <t>RPM</t>
        </is>
      </c>
      <c r="C54" s="12" t="inlineStr">
        <is>
          <t>홍경표, 장수빈</t>
        </is>
      </c>
      <c r="D54" s="12" t="inlineStr">
        <is>
          <t>홀센서 A3144 (3핀)</t>
        </is>
      </c>
      <c r="E54" s="17" t="n">
        <v>90</v>
      </c>
      <c r="F54" s="12" t="n">
        <v>10</v>
      </c>
      <c r="G54" s="17">
        <f>F54*E54</f>
        <v/>
      </c>
      <c r="H54" s="12" t="inlineStr">
        <is>
          <t>https://www.coupang.com/vp/products/8520223332</t>
        </is>
      </c>
    </row>
    <row r="55" ht="24.9" customHeight="1" s="15">
      <c r="A55" s="16" t="n">
        <v>53</v>
      </c>
      <c r="B55" s="12" t="inlineStr">
        <is>
          <t>RPM</t>
        </is>
      </c>
      <c r="C55" s="12" t="inlineStr">
        <is>
          <t>홍경표, 장수빈</t>
        </is>
      </c>
      <c r="D55" s="12" t="inlineStr">
        <is>
          <t>네오디뮴 자석 (Ø6×3, 40개)</t>
        </is>
      </c>
      <c r="E55" s="17" t="n">
        <v>11300</v>
      </c>
      <c r="F55" s="12" t="n">
        <v>1</v>
      </c>
      <c r="G55" s="17">
        <f>F55*E55</f>
        <v/>
      </c>
      <c r="H55" s="12" t="inlineStr">
        <is>
          <t>https://www.coupang.com/vp/products/7119515778</t>
        </is>
      </c>
    </row>
    <row r="56" ht="24.9" customHeight="1" s="15">
      <c r="A56" s="16" t="n">
        <v>54</v>
      </c>
      <c r="B56" s="12" t="inlineStr">
        <is>
          <t>RPM</t>
        </is>
      </c>
      <c r="C56" s="12" t="inlineStr">
        <is>
          <t>홍경표, 장수빈</t>
        </is>
      </c>
      <c r="D56" s="12" t="inlineStr">
        <is>
          <t>가변저항 B10K WH148 (하프(D)축 Ø6 15mm, 3핀, 부싱 M7)</t>
        </is>
      </c>
      <c r="E56" s="17" t="n">
        <v>12250</v>
      </c>
      <c r="F56" s="12" t="n">
        <v>5</v>
      </c>
      <c r="G56" s="17">
        <f>F56*E56</f>
        <v/>
      </c>
      <c r="H56" s="12" t="inlineStr">
        <is>
          <t>https://www.gmarket.co.kr/n/search?keyword=WH148%20B10K%20%ED%95%98%ED%94%84%20%EC%83%A4%ED%94%84%ED%8A%B8%2015mm</t>
        </is>
      </c>
    </row>
    <row r="57" ht="24.9" customHeight="1" s="15">
      <c r="A57" s="16" t="n">
        <v>55</v>
      </c>
      <c r="B57" s="12" t="inlineStr">
        <is>
          <t>RPM</t>
        </is>
      </c>
      <c r="C57" s="12" t="inlineStr">
        <is>
          <t>홍경표, 장수빈</t>
        </is>
      </c>
      <c r="D57" s="12" t="inlineStr">
        <is>
          <t>마이크로스위치 KW-11-3Z (레버형)</t>
        </is>
      </c>
      <c r="E57" s="17" t="n">
        <v>400</v>
      </c>
      <c r="F57" s="12" t="n">
        <v>2</v>
      </c>
      <c r="G57" s="17">
        <f>F57*E57</f>
        <v/>
      </c>
      <c r="H57" s="12" t="inlineStr">
        <is>
          <t>https://www.coupang.com/vp/products/9167678186</t>
        </is>
      </c>
    </row>
    <row r="58" ht="24.9" customHeight="1" s="15">
      <c r="A58" s="16" t="n">
        <v>56</v>
      </c>
      <c r="B58" s="12" t="inlineStr">
        <is>
          <t>RPM</t>
        </is>
      </c>
      <c r="C58" s="12" t="inlineStr">
        <is>
          <t>홍경표, 장수빈</t>
        </is>
      </c>
      <c r="D58" s="12" t="inlineStr">
        <is>
          <t>점퍼 케이블 M-F (40P 40cm)</t>
        </is>
      </c>
      <c r="E58" s="17" t="n">
        <v>5300</v>
      </c>
      <c r="F58" s="12" t="n">
        <v>1</v>
      </c>
      <c r="G58" s="17">
        <f>F58*E58</f>
        <v/>
      </c>
      <c r="H58" s="12" t="inlineStr">
        <is>
          <t>https://www.coupang.com/vp/products/9699042565</t>
        </is>
      </c>
    </row>
    <row r="59" ht="24.9" customHeight="1" s="15">
      <c r="A59" s="16" t="n">
        <v>57</v>
      </c>
      <c r="B59" s="12" t="inlineStr">
        <is>
          <t>RPM</t>
        </is>
      </c>
      <c r="C59" s="12" t="inlineStr">
        <is>
          <t>홍경표, 장수빈</t>
        </is>
      </c>
      <c r="D59" s="12" t="inlineStr">
        <is>
          <t>만능기판 (양면, 묶음)</t>
        </is>
      </c>
      <c r="E59" s="17" t="n">
        <v>15000</v>
      </c>
      <c r="F59" s="12" t="n">
        <v>1</v>
      </c>
      <c r="G59" s="17">
        <f>F59*E59</f>
        <v/>
      </c>
      <c r="H59" s="12" t="inlineStr">
        <is>
          <t>https://www.coupang.com/vp/products/9661304796</t>
        </is>
      </c>
    </row>
    <row r="60" ht="24.9" customHeight="1" s="15">
      <c r="A60" s="16" t="n">
        <v>58</v>
      </c>
      <c r="B60" s="12" t="inlineStr">
        <is>
          <t>RPM</t>
        </is>
      </c>
      <c r="C60" s="12" t="inlineStr">
        <is>
          <t>홍경표, 장수빈</t>
        </is>
      </c>
      <c r="D60" s="12" t="inlineStr">
        <is>
          <t>자동차 릴레이 12V 40A + 소켓 (4핀, 배선된 소켓)</t>
        </is>
      </c>
      <c r="E60" s="17" t="n">
        <v>3100</v>
      </c>
      <c r="F60" s="12" t="n">
        <v>2</v>
      </c>
      <c r="G60" s="17">
        <f>F60*E60</f>
        <v/>
      </c>
      <c r="H60" s="12" t="inlineStr">
        <is>
          <t>https://www.coupang.com/vp/products/6667848502</t>
        </is>
      </c>
    </row>
    <row r="61" ht="24.9" customHeight="1" s="15">
      <c r="A61" s="16" t="n">
        <v>59</v>
      </c>
      <c r="B61" s="12" t="inlineStr">
        <is>
          <t>RPM</t>
        </is>
      </c>
      <c r="C61" s="12" t="inlineStr">
        <is>
          <t>홍경표, 장수빈</t>
        </is>
      </c>
      <c r="D61" s="12" t="inlineStr">
        <is>
          <t>블레이드 퓨즈 + 인라인 홀더 세트 (15A 포함, 홀더 4 + 퓨즈 12)</t>
        </is>
      </c>
      <c r="E61" s="17" t="n">
        <v>8900</v>
      </c>
      <c r="F61" s="12" t="n">
        <v>1</v>
      </c>
      <c r="G61" s="17">
        <f>F61*E61</f>
        <v/>
      </c>
      <c r="H61" s="12" t="inlineStr">
        <is>
          <t>https://www.coupang.com/vp/products/9663070188</t>
        </is>
      </c>
    </row>
    <row r="62" ht="24.9" customHeight="1" s="15">
      <c r="A62" s="16" t="n">
        <v>60</v>
      </c>
      <c r="B62" s="12" t="inlineStr">
        <is>
          <t>RPM</t>
        </is>
      </c>
      <c r="C62" s="12" t="inlineStr">
        <is>
          <t>홍경표, 장수빈</t>
        </is>
      </c>
      <c r="D62" s="12" t="inlineStr">
        <is>
          <t>비상정지 스위치 22mm (버섯형, 1a1b, 명판 포함 (A20B-V4E11R))</t>
        </is>
      </c>
      <c r="E62" s="17" t="n">
        <v>15400</v>
      </c>
      <c r="F62" s="12" t="n">
        <v>1</v>
      </c>
      <c r="G62" s="17">
        <f>F62*E62</f>
        <v/>
      </c>
      <c r="H62" s="12" t="inlineStr">
        <is>
          <t>https://m.gmarket.co.kr/vi/product/711140155</t>
        </is>
      </c>
    </row>
    <row r="63" ht="24.9" customHeight="1" s="15">
      <c r="A63" s="16" t="n">
        <v>61</v>
      </c>
      <c r="B63" s="12" t="inlineStr">
        <is>
          <t>RPM</t>
        </is>
      </c>
      <c r="C63" s="12" t="inlineStr">
        <is>
          <t>홍경표, 장수빈</t>
        </is>
      </c>
      <c r="D63" s="12" t="inlineStr">
        <is>
          <t>비상정지 스위치 박스 (1구 (22mm 구멍))</t>
        </is>
      </c>
      <c r="E63" s="17" t="n">
        <v>13200</v>
      </c>
      <c r="F63" s="12" t="n">
        <v>1</v>
      </c>
      <c r="G63" s="17">
        <f>F63*E63</f>
        <v/>
      </c>
      <c r="H63" s="12" t="inlineStr">
        <is>
          <t>https://www.11st.co.kr/products/8521960628</t>
        </is>
      </c>
    </row>
    <row r="64" ht="24.9" customHeight="1" s="15">
      <c r="A64" s="16" t="n">
        <v>62</v>
      </c>
      <c r="B64" s="12" t="inlineStr">
        <is>
          <t>RPM</t>
        </is>
      </c>
      <c r="C64" s="12" t="inlineStr">
        <is>
          <t>홍경표, 장수빈</t>
        </is>
      </c>
      <c r="D64" s="12" t="inlineStr">
        <is>
          <t>5V 릴레이 모듈 1채널 (DM106)</t>
        </is>
      </c>
      <c r="E64" s="17" t="n">
        <v>2000</v>
      </c>
      <c r="F64" s="12" t="n">
        <v>2</v>
      </c>
      <c r="G64" s="17">
        <f>F64*E64</f>
        <v/>
      </c>
      <c r="H64" s="12" t="inlineStr">
        <is>
          <t>https://item.gmarket.co.kr/Item?goodscode=1577801859</t>
        </is>
      </c>
    </row>
    <row r="65" ht="24.9" customHeight="1" s="15">
      <c r="A65" s="16" t="n">
        <v>63</v>
      </c>
      <c r="B65" s="12" t="inlineStr">
        <is>
          <t>RPM</t>
        </is>
      </c>
      <c r="C65" s="12" t="inlineStr">
        <is>
          <t>홍경표, 장수빈</t>
        </is>
      </c>
      <c r="D65" s="12" t="inlineStr">
        <is>
          <t>다이오드 1N4007 (10개)</t>
        </is>
      </c>
      <c r="E65" s="17" t="n">
        <v>700</v>
      </c>
      <c r="F65" s="12" t="n">
        <v>1</v>
      </c>
      <c r="G65" s="17">
        <f>F65*E65</f>
        <v/>
      </c>
      <c r="H65" s="12" t="inlineStr">
        <is>
          <t>https://www.11st.co.kr/products/1453536560</t>
        </is>
      </c>
    </row>
    <row r="66" ht="24.9" customHeight="1" s="15">
      <c r="A66" s="16" t="n">
        <v>64</v>
      </c>
      <c r="B66" s="12" t="inlineStr">
        <is>
          <t>RPM</t>
        </is>
      </c>
      <c r="C66" s="12" t="inlineStr">
        <is>
          <t>홍경표, 장수빈</t>
        </is>
      </c>
      <c r="D66" s="12" t="inlineStr">
        <is>
          <t>저항 세트 1/4W (30종 × 20개 (10kΩ·4.7kΩ 포함))</t>
        </is>
      </c>
      <c r="E66" s="17" t="n">
        <v>4300</v>
      </c>
      <c r="F66" s="12" t="n">
        <v>1</v>
      </c>
      <c r="G66" s="17">
        <f>F66*E66</f>
        <v/>
      </c>
      <c r="H66" s="12" t="inlineStr">
        <is>
          <t>https://www.11st.co.kr/products/1969785917</t>
        </is>
      </c>
    </row>
    <row r="67" ht="24.9" customHeight="1" s="15">
      <c r="A67" s="16" t="n">
        <v>65</v>
      </c>
      <c r="B67" s="12" t="inlineStr">
        <is>
          <t>RPM</t>
        </is>
      </c>
      <c r="C67" s="12" t="inlineStr">
        <is>
          <t>홍경표, 장수빈</t>
        </is>
      </c>
      <c r="D67" s="12" t="inlineStr">
        <is>
          <t>실리콘 전선 16AWG 빨강·검정 (1m 세트)</t>
        </is>
      </c>
      <c r="E67" s="17" t="n">
        <v>1310</v>
      </c>
      <c r="F67" s="12" t="n">
        <v>3</v>
      </c>
      <c r="G67" s="17">
        <f>F67*E67</f>
        <v/>
      </c>
      <c r="H67" s="12" t="inlineStr">
        <is>
          <t>https://www.coupang.com/vp/products/7225302003</t>
        </is>
      </c>
    </row>
    <row r="68" ht="24.9" customHeight="1" s="15">
      <c r="A68" s="16" t="n">
        <v>66</v>
      </c>
      <c r="B68" s="12" t="inlineStr">
        <is>
          <t>RPM</t>
        </is>
      </c>
      <c r="C68" s="12" t="inlineStr">
        <is>
          <t>홍경표, 장수빈</t>
        </is>
      </c>
      <c r="D68" s="12" t="inlineStr">
        <is>
          <t>절연 암 평형 단자 250 (6.3mm) (22~16AWG, 2개 봉)</t>
        </is>
      </c>
      <c r="E68" s="17" t="n">
        <v>310</v>
      </c>
      <c r="F68" s="12" t="n">
        <v>5</v>
      </c>
      <c r="G68" s="17">
        <f>F68*E68</f>
        <v/>
      </c>
      <c r="H68" s="12" t="inlineStr">
        <is>
          <t>https://www.coupang.com/vp/products/8667960491</t>
        </is>
      </c>
    </row>
    <row r="69" ht="24.9" customHeight="1" s="15">
      <c r="A69" s="16" t="n">
        <v>67</v>
      </c>
      <c r="B69" s="12" t="inlineStr">
        <is>
          <t>RPM</t>
        </is>
      </c>
      <c r="C69" s="12" t="inlineStr">
        <is>
          <t>홍경표, 장수빈</t>
        </is>
      </c>
      <c r="D69" s="12" t="inlineStr">
        <is>
          <t>배송비 (판매처별 합계)</t>
        </is>
      </c>
      <c r="E69" s="17" t="n">
        <v>108200</v>
      </c>
      <c r="F69" s="12" t="n">
        <v>1</v>
      </c>
      <c r="G69" s="17">
        <f>F69*E69</f>
        <v/>
      </c>
      <c r="H69" s="12" t="inlineStr">
        <is>
          <t>판매처별 배송비 합계 (추정)</t>
        </is>
      </c>
    </row>
    <row r="70">
      <c r="A70" s="9" t="n"/>
      <c r="B70" s="6" t="n"/>
      <c r="C70" s="6" t="n"/>
      <c r="D70" s="6" t="n"/>
      <c r="E70" s="18" t="inlineStr">
        <is>
          <t>소계</t>
        </is>
      </c>
      <c r="F70" s="19">
        <f>SUM(F3:F69)</f>
        <v/>
      </c>
      <c r="G70" s="20">
        <f>SUM(G3:G69)</f>
        <v/>
      </c>
      <c r="H70" s="6" t="n"/>
    </row>
    <row r="71" ht="34" customHeight="1" s="15">
      <c r="A71" s="21" t="inlineStr">
        <is>
          <t>※ 예상단가: 2026-10-20 판매처 화면 확인 또는 2026-10-22 검색 결과 가격 (VAT 포함). 맞춤 스프링·D컷 가공·아크릴 재단·일부 소모품은 추정 → 근거·확인 시트. 3D 프린팅 PLA(2.85mm 약 4.7kg)는 따로 준비, 공구(육각 렌치·드릴·인두·캘리퍼스·걸이 저울)는 보유·학교 것.</t>
        </is>
      </c>
    </row>
  </sheetData>
  <mergeCells count="2">
    <mergeCell ref="A71:H71"/>
    <mergeCell ref="A1:H1"/>
  </mergeCells>
  <hyperlinks>
    <hyperlink xmlns:r="http://schemas.openxmlformats.org/officeDocument/2006/relationships" ref="H3" r:id="rId1"/>
    <hyperlink xmlns:r="http://schemas.openxmlformats.org/officeDocument/2006/relationships" ref="H4" r:id="rId2"/>
    <hyperlink xmlns:r="http://schemas.openxmlformats.org/officeDocument/2006/relationships" ref="H5" r:id="rId3"/>
    <hyperlink xmlns:r="http://schemas.openxmlformats.org/officeDocument/2006/relationships" ref="H6" r:id="rId4"/>
    <hyperlink xmlns:r="http://schemas.openxmlformats.org/officeDocument/2006/relationships" ref="H7" r:id="rId5"/>
    <hyperlink xmlns:r="http://schemas.openxmlformats.org/officeDocument/2006/relationships" ref="H8" r:id="rId6"/>
    <hyperlink xmlns:r="http://schemas.openxmlformats.org/officeDocument/2006/relationships" ref="H9" r:id="rId7"/>
    <hyperlink xmlns:r="http://schemas.openxmlformats.org/officeDocument/2006/relationships" ref="H10" r:id="rId8"/>
    <hyperlink xmlns:r="http://schemas.openxmlformats.org/officeDocument/2006/relationships" ref="H11" r:id="rId9"/>
    <hyperlink xmlns:r="http://schemas.openxmlformats.org/officeDocument/2006/relationships" ref="H12" r:id="rId10"/>
    <hyperlink xmlns:r="http://schemas.openxmlformats.org/officeDocument/2006/relationships" ref="H13" r:id="rId11"/>
    <hyperlink xmlns:r="http://schemas.openxmlformats.org/officeDocument/2006/relationships" ref="H14" r:id="rId12"/>
    <hyperlink xmlns:r="http://schemas.openxmlformats.org/officeDocument/2006/relationships" ref="H15" r:id="rId13"/>
    <hyperlink xmlns:r="http://schemas.openxmlformats.org/officeDocument/2006/relationships" ref="H16" r:id="rId14"/>
    <hyperlink xmlns:r="http://schemas.openxmlformats.org/officeDocument/2006/relationships" ref="H17" r:id="rId15"/>
    <hyperlink xmlns:r="http://schemas.openxmlformats.org/officeDocument/2006/relationships" ref="H18" r:id="rId16"/>
    <hyperlink xmlns:r="http://schemas.openxmlformats.org/officeDocument/2006/relationships" ref="H19" r:id="rId17"/>
    <hyperlink xmlns:r="http://schemas.openxmlformats.org/officeDocument/2006/relationships" ref="H20" r:id="rId18"/>
    <hyperlink xmlns:r="http://schemas.openxmlformats.org/officeDocument/2006/relationships" ref="H21" r:id="rId19"/>
    <hyperlink xmlns:r="http://schemas.openxmlformats.org/officeDocument/2006/relationships" ref="H22" r:id="rId20"/>
    <hyperlink xmlns:r="http://schemas.openxmlformats.org/officeDocument/2006/relationships" ref="H23" r:id="rId21"/>
    <hyperlink xmlns:r="http://schemas.openxmlformats.org/officeDocument/2006/relationships" ref="H24" r:id="rId22"/>
    <hyperlink xmlns:r="http://schemas.openxmlformats.org/officeDocument/2006/relationships" ref="H25" r:id="rId23"/>
    <hyperlink xmlns:r="http://schemas.openxmlformats.org/officeDocument/2006/relationships" ref="H26" r:id="rId24"/>
    <hyperlink xmlns:r="http://schemas.openxmlformats.org/officeDocument/2006/relationships" ref="H27" r:id="rId25"/>
    <hyperlink xmlns:r="http://schemas.openxmlformats.org/officeDocument/2006/relationships" ref="H28" r:id="rId26"/>
    <hyperlink xmlns:r="http://schemas.openxmlformats.org/officeDocument/2006/relationships" ref="H29" r:id="rId27"/>
    <hyperlink xmlns:r="http://schemas.openxmlformats.org/officeDocument/2006/relationships" ref="H30" r:id="rId28"/>
    <hyperlink xmlns:r="http://schemas.openxmlformats.org/officeDocument/2006/relationships" ref="H31" r:id="rId29"/>
    <hyperlink xmlns:r="http://schemas.openxmlformats.org/officeDocument/2006/relationships" ref="H32" r:id="rId30"/>
    <hyperlink xmlns:r="http://schemas.openxmlformats.org/officeDocument/2006/relationships" ref="H33" r:id="rId31"/>
    <hyperlink xmlns:r="http://schemas.openxmlformats.org/officeDocument/2006/relationships" ref="H34" r:id="rId32"/>
    <hyperlink xmlns:r="http://schemas.openxmlformats.org/officeDocument/2006/relationships" ref="H35" r:id="rId33"/>
    <hyperlink xmlns:r="http://schemas.openxmlformats.org/officeDocument/2006/relationships" ref="H36" r:id="rId34"/>
    <hyperlink xmlns:r="http://schemas.openxmlformats.org/officeDocument/2006/relationships" ref="H37" r:id="rId35"/>
    <hyperlink xmlns:r="http://schemas.openxmlformats.org/officeDocument/2006/relationships" ref="H38" r:id="rId36"/>
    <hyperlink xmlns:r="http://schemas.openxmlformats.org/officeDocument/2006/relationships" ref="H39" r:id="rId37"/>
    <hyperlink xmlns:r="http://schemas.openxmlformats.org/officeDocument/2006/relationships" ref="H40" r:id="rId38"/>
    <hyperlink xmlns:r="http://schemas.openxmlformats.org/officeDocument/2006/relationships" ref="H41" r:id="rId39"/>
    <hyperlink xmlns:r="http://schemas.openxmlformats.org/officeDocument/2006/relationships" ref="H42" r:id="rId40"/>
    <hyperlink xmlns:r="http://schemas.openxmlformats.org/officeDocument/2006/relationships" ref="H43" r:id="rId41"/>
    <hyperlink xmlns:r="http://schemas.openxmlformats.org/officeDocument/2006/relationships" ref="H44" r:id="rId42"/>
    <hyperlink xmlns:r="http://schemas.openxmlformats.org/officeDocument/2006/relationships" ref="H45" r:id="rId43"/>
    <hyperlink xmlns:r="http://schemas.openxmlformats.org/officeDocument/2006/relationships" ref="H46" r:id="rId44"/>
    <hyperlink xmlns:r="http://schemas.openxmlformats.org/officeDocument/2006/relationships" ref="H47" r:id="rId45"/>
    <hyperlink xmlns:r="http://schemas.openxmlformats.org/officeDocument/2006/relationships" ref="H48" r:id="rId46"/>
    <hyperlink xmlns:r="http://schemas.openxmlformats.org/officeDocument/2006/relationships" ref="H49" r:id="rId47"/>
    <hyperlink xmlns:r="http://schemas.openxmlformats.org/officeDocument/2006/relationships" ref="H50" r:id="rId48"/>
    <hyperlink xmlns:r="http://schemas.openxmlformats.org/officeDocument/2006/relationships" ref="H51" r:id="rId49"/>
    <hyperlink xmlns:r="http://schemas.openxmlformats.org/officeDocument/2006/relationships" ref="H52" r:id="rId50"/>
    <hyperlink xmlns:r="http://schemas.openxmlformats.org/officeDocument/2006/relationships" ref="H53" r:id="rId51"/>
    <hyperlink xmlns:r="http://schemas.openxmlformats.org/officeDocument/2006/relationships" ref="H54" r:id="rId52"/>
    <hyperlink xmlns:r="http://schemas.openxmlformats.org/officeDocument/2006/relationships" ref="H55" r:id="rId53"/>
    <hyperlink xmlns:r="http://schemas.openxmlformats.org/officeDocument/2006/relationships" ref="H56" r:id="rId54"/>
    <hyperlink xmlns:r="http://schemas.openxmlformats.org/officeDocument/2006/relationships" ref="H57" r:id="rId55"/>
    <hyperlink xmlns:r="http://schemas.openxmlformats.org/officeDocument/2006/relationships" ref="H58" r:id="rId56"/>
    <hyperlink xmlns:r="http://schemas.openxmlformats.org/officeDocument/2006/relationships" ref="H59" r:id="rId57"/>
    <hyperlink xmlns:r="http://schemas.openxmlformats.org/officeDocument/2006/relationships" ref="H60" r:id="rId58"/>
    <hyperlink xmlns:r="http://schemas.openxmlformats.org/officeDocument/2006/relationships" ref="H61" r:id="rId59"/>
    <hyperlink xmlns:r="http://schemas.openxmlformats.org/officeDocument/2006/relationships" ref="H62" r:id="rId60"/>
    <hyperlink xmlns:r="http://schemas.openxmlformats.org/officeDocument/2006/relationships" ref="H63" r:id="rId61"/>
    <hyperlink xmlns:r="http://schemas.openxmlformats.org/officeDocument/2006/relationships" ref="H64" r:id="rId62"/>
    <hyperlink xmlns:r="http://schemas.openxmlformats.org/officeDocument/2006/relationships" ref="H65" r:id="rId63"/>
    <hyperlink xmlns:r="http://schemas.openxmlformats.org/officeDocument/2006/relationships" ref="H66" r:id="rId64"/>
    <hyperlink xmlns:r="http://schemas.openxmlformats.org/officeDocument/2006/relationships" ref="H67" r:id="rId65"/>
    <hyperlink xmlns:r="http://schemas.openxmlformats.org/officeDocument/2006/relationships" ref="H68" r:id="rId66"/>
  </hyperlinks>
  <pageMargins left="0.7" right="0.7" top="0.75" bottom="0.75" header="0.3" footer="0.3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style="15" min="1" max="1"/>
    <col width="26" customWidth="1" style="15" min="2" max="2"/>
    <col width="26" customWidth="1" style="15" min="3" max="3"/>
    <col width="6" customWidth="1" style="15" min="4" max="4"/>
    <col width="40" customWidth="1" style="15" min="5" max="5"/>
    <col width="44" customWidth="1" style="15" min="6" max="6"/>
    <col width="40" customWidth="1" style="15" min="7" max="7"/>
    <col width="24" customWidth="1" style="15" min="8" max="8"/>
  </cols>
  <sheetData>
    <row r="1">
      <c r="A1" s="22" t="inlineStr">
        <is>
          <t>no</t>
        </is>
      </c>
      <c r="B1" s="22" t="inlineStr">
        <is>
          <t>물품명</t>
        </is>
      </c>
      <c r="C1" s="22" t="inlineStr">
        <is>
          <t>규격</t>
        </is>
      </c>
      <c r="D1" s="22" t="inlineStr">
        <is>
          <t>수량</t>
        </is>
      </c>
      <c r="E1" s="22" t="inlineStr">
        <is>
          <t>쓰는 곳 (수량 근거)</t>
        </is>
      </c>
      <c r="F1" s="22" t="inlineStr">
        <is>
          <t>고른 이유·바뀐 점</t>
        </is>
      </c>
      <c r="G1" s="22" t="inlineStr">
        <is>
          <t>주문할 때 확인</t>
        </is>
      </c>
      <c r="H1" s="22" t="inlineStr">
        <is>
          <t>가격 근거</t>
        </is>
      </c>
    </row>
    <row r="2">
      <c r="A2" s="21" t="n">
        <v>1</v>
      </c>
      <c r="B2" s="21" t="inlineStr">
        <is>
          <t>볼 베어링 6001ZZ NSK</t>
        </is>
      </c>
      <c r="C2" s="21" t="inlineStr">
        <is>
          <t>12×28×8</t>
        </is>
      </c>
      <c r="D2" s="21" t="n">
        <v>21</v>
      </c>
      <c r="E2" s="21" t="inlineStr">
        <is>
          <t>끝판 4 · 출력 기어 12 · 아이들러 2 · 클러치 파일럿 1 = 19 + 여분 2</t>
        </is>
      </c>
      <c r="F2" s="21" t="inlineStr">
        <is>
          <t>쿠팡 무명 10개 묶음 → NSK: 바깥지름 공차가 고르게 작아서 쿠폰으로 정한 압입 구멍이 21개 모두 맞고 소리가 작음</t>
        </is>
      </c>
      <c r="G2" s="21" t="inlineStr">
        <is>
          <t>옵션 "NSK 6001 ZZ", 12×28×8, ZZ(철판 실드)</t>
        </is>
      </c>
      <c r="H2" s="21" t="inlineStr">
        <is>
          <t>검색 결과 2026-10-22 (화면 미확인)</t>
        </is>
      </c>
    </row>
    <row r="3">
      <c r="A3" s="21" t="n">
        <v>2</v>
      </c>
      <c r="B3" s="21" t="inlineStr">
        <is>
          <t>볼 베어링 6003ZZ NSK</t>
        </is>
      </c>
      <c r="C3" s="21" t="inlineStr">
        <is>
          <t>17×35×10</t>
        </is>
      </c>
      <c r="D3" s="21" t="n">
        <v>2</v>
      </c>
      <c r="E3" s="21" t="inlineStr">
        <is>
          <t>클러치 릴리스 1 + 여분 1</t>
        </is>
      </c>
      <c r="F3" s="21" t="inlineStr">
        <is>
          <t>같은 이유로 NSK</t>
        </is>
      </c>
      <c r="G3" s="21" t="inlineStr">
        <is>
          <t>옵션 "NSK 6003ZZ", 17×35×10</t>
        </is>
      </c>
      <c r="H3" s="21" t="inlineStr">
        <is>
          <t>검색 결과 2026-10-22 (화면 미확인)</t>
        </is>
      </c>
    </row>
    <row r="4">
      <c r="A4" s="21" t="n">
        <v>3</v>
      </c>
      <c r="B4" s="21" t="inlineStr">
        <is>
          <t>연마봉 Ø12 S45C 1m</t>
        </is>
      </c>
      <c r="C4" s="21" t="inlineStr">
        <is>
          <t>435·358·160 으로 절단</t>
        </is>
      </c>
      <c r="D4" s="21" t="n">
        <v>1</v>
      </c>
      <c r="E4" s="21" t="inlineStr">
        <is>
          <t>입력축 435 · 출력축 358 (둘 다 양면 D컷) · 레버봉 160</t>
        </is>
      </c>
      <c r="F4" s="21" t="inlineStr">
        <is>
          <t>smball 에서 사려던 소망트레이딩의 G마켓 상품</t>
        </is>
      </c>
      <c r="G4" s="21" t="inlineStr">
        <is>
          <t>옵션 100cm, 주문 메모에 절단 길이 435·358·160</t>
        </is>
      </c>
      <c r="H4" s="21" t="inlineStr">
        <is>
          <t>smball 1m 16,000 기준 (G마켓 옵션가 미확인)</t>
        </is>
      </c>
    </row>
    <row r="5">
      <c r="A5" s="21" t="n">
        <v>4</v>
      </c>
      <c r="B5" s="21" t="inlineStr">
        <is>
          <t>연마봉 Ø12 S45C 10cm</t>
        </is>
      </c>
      <c r="C5" s="21" t="inlineStr">
        <is>
          <t>55 로 절단</t>
        </is>
      </c>
      <c r="D5" s="21" t="n">
        <v>1</v>
      </c>
      <c r="E5" s="21" t="inlineStr">
        <is>
          <t>후진 아이들러 축</t>
        </is>
      </c>
      <c r="F5" s="21" t="inlineStr">
        <is>
          <t>같은 판매자</t>
        </is>
      </c>
      <c r="G5" s="21" t="inlineStr">
        <is>
          <t>옵션 "12파이-10cm", 메모에 55mm</t>
        </is>
      </c>
      <c r="H5" s="21" t="inlineStr">
        <is>
          <t>검색 결과 2026-10-22 (화면 미확인)</t>
        </is>
      </c>
    </row>
    <row r="6">
      <c r="A6" s="21" t="n">
        <v>5</v>
      </c>
      <c r="B6" s="21" t="inlineStr">
        <is>
          <t>축 양면 D컷 가공</t>
        </is>
      </c>
      <c r="C6" s="21" t="inlineStr">
        <is>
          <t>입력축 435·출력축 358, 면 사이 10.0, 전체 길이</t>
        </is>
      </c>
      <c r="D6" s="21" t="n">
        <v>2</v>
      </c>
      <c r="E6" s="21" t="inlineStr">
        <is>
          <t>기어·허브를 축에 고정 (도면 v4/도면_D컷축.pdf)</t>
        </is>
      </c>
      <c r="F6" s="21" t="inlineStr">
        <is>
          <t>기성품 없음 → 소망트레이딩 가공 의뢰 (smball Q&amp;A 14번 답변 대기)</t>
        </is>
      </c>
      <c r="G6" s="21" t="inlineStr">
        <is>
          <t>도면 첨부, 길이 ±0.5, 열처리봉이 어려우면 비열처리 S45C 도 됨</t>
        </is>
      </c>
      <c r="H6" s="21" t="inlineStr">
        <is>
          <t>추정 (견적·옵션 확인 후 확정)</t>
        </is>
      </c>
    </row>
    <row r="7">
      <c r="A7" s="21" t="n">
        <v>6</v>
      </c>
      <c r="B7" s="21" t="inlineStr">
        <is>
          <t>스텐 환봉 Ø6 1m</t>
        </is>
      </c>
      <c r="C7" s="21" t="inlineStr">
        <is>
          <t>371mm 2개로 절단</t>
        </is>
      </c>
      <c r="D7" s="21" t="n">
        <v>2</v>
      </c>
      <c r="E7" s="21" t="inlineStr">
        <is>
          <t>변속 레일 3 + 여분 1</t>
        </is>
      </c>
      <c r="F7" s="21" t="inlineStr">
        <is>
          <t>소망 6파이는 G마켓에 없음 → 스텐 환봉 절단판매 (무른 재질이라 러그·칼라 나사 끝이 잘 물림)</t>
        </is>
      </c>
      <c r="G7" s="21" t="inlineStr">
        <is>
          <t>1m 3,000 + 절단 2번 500×2, 371mm 2개씩 (남는 258 버림)</t>
        </is>
      </c>
      <c r="H7" s="21" t="inlineStr">
        <is>
          <t>검색 결과 2026-10-22 (화면 미확인)</t>
        </is>
      </c>
    </row>
    <row r="8">
      <c r="A8" s="21" t="n">
        <v>7</v>
      </c>
      <c r="B8" s="21" t="inlineStr">
        <is>
          <t>강철 평행핀 Ø5×25</t>
        </is>
      </c>
      <c r="C8" s="21" t="inlineStr">
        <is>
          <t>100개, 공차 0~+0.01</t>
        </is>
      </c>
      <c r="D8" s="21" t="n">
        <v>1</v>
      </c>
      <c r="E8" s="21" t="inlineStr">
        <is>
          <t>도그 24 + 여분</t>
        </is>
      </c>
      <c r="F8" s="21" t="inlineStr">
        <is>
          <t>그대로</t>
        </is>
      </c>
      <c r="G8" s="21" t="inlineStr">
        <is>
          <t>옵션 "M5 (+)공차 / 25mm × 100개"</t>
        </is>
      </c>
      <c r="H8" s="21" t="inlineStr">
        <is>
          <t>확인 2026-10-20</t>
        </is>
      </c>
    </row>
    <row r="9">
      <c r="A9" s="21" t="n">
        <v>8</v>
      </c>
      <c r="B9" s="21" t="inlineStr">
        <is>
          <t>강철 평행핀 Ø5×40</t>
        </is>
      </c>
      <c r="C9" s="21" t="inlineStr">
        <is>
          <t>공차 0~+0.01</t>
        </is>
      </c>
      <c r="D9" s="21" t="n">
        <v>8</v>
      </c>
      <c r="E9" s="21" t="inlineStr">
        <is>
          <t>스프로킷 커플링 6 + 여분 2</t>
        </is>
      </c>
      <c r="F9" s="21" t="inlineStr">
        <is>
          <t>여분 2 추가</t>
        </is>
      </c>
      <c r="G9" s="21" t="inlineStr">
        <is>
          <t>5x40 낱개</t>
        </is>
      </c>
      <c r="H9" s="21" t="inlineStr">
        <is>
          <t>확인 2026-10-20</t>
        </is>
      </c>
    </row>
    <row r="10">
      <c r="A10" s="21" t="n">
        <v>9</v>
      </c>
      <c r="B10" s="21" t="inlineStr">
        <is>
          <t>NBR 고무 호스</t>
        </is>
      </c>
      <c r="C10" s="21" t="inlineStr">
        <is>
          <t>안지름 5 × 바깥지름 10, 약 2m</t>
        </is>
      </c>
      <c r="D10" s="21" t="n">
        <v>1</v>
      </c>
      <c r="E10" s="21" t="inlineStr">
        <is>
          <t>핀 쿠션 6mm × 24 (144mm)</t>
        </is>
      </c>
      <c r="F10" s="21" t="inlineStr">
        <is>
          <t>그대로</t>
        </is>
      </c>
      <c r="G10" s="21" t="inlineStr">
        <is>
          <t>도착하면 바깥지름 재기 (21 슬리브 출력 전)</t>
        </is>
      </c>
      <c r="H10" s="21" t="inlineStr">
        <is>
          <t>확인 2026-10-20</t>
        </is>
      </c>
    </row>
    <row r="11">
      <c r="A11" s="21" t="n">
        <v>10</v>
      </c>
      <c r="B11" s="21" t="inlineStr">
        <is>
          <t>큰 와셔 DIN9021 M16 스텐</t>
        </is>
      </c>
      <c r="C11" s="21" t="inlineStr">
        <is>
          <t>17×50×3</t>
        </is>
      </c>
      <c r="D11" s="21" t="n">
        <v>2</v>
      </c>
      <c r="E11" s="21" t="inlineStr">
        <is>
          <t>클러치 원판 1 + 여분 1</t>
        </is>
      </c>
      <c r="F11" s="21" t="inlineStr">
        <is>
          <t>그대로</t>
        </is>
      </c>
      <c r="G11" s="21" t="inlineStr">
        <is>
          <t>옵션 "M16 × 50mm"</t>
        </is>
      </c>
      <c r="H11" s="21" t="inlineStr">
        <is>
          <t>확인 2026-10-20</t>
        </is>
      </c>
    </row>
    <row r="12">
      <c r="A12" s="21" t="n">
        <v>11</v>
      </c>
      <c r="B12" s="21" t="inlineStr">
        <is>
          <t>코르크 시트</t>
        </is>
      </c>
      <c r="C12" s="21" t="inlineStr">
        <is>
          <t>2mm, A4 2매</t>
        </is>
      </c>
      <c r="D12" s="21" t="n">
        <v>1</v>
      </c>
      <c r="E12" s="21" t="inlineStr">
        <is>
          <t>클러치 마찰 링 2 (바깥 Ø50, 안 Ø26)</t>
        </is>
      </c>
      <c r="F12" s="21" t="inlineStr">
        <is>
          <t>그대로</t>
        </is>
      </c>
      <c r="G12" s="21" t="inlineStr"/>
      <c r="H12" s="21" t="inlineStr">
        <is>
          <t>확인 2026-10-20</t>
        </is>
      </c>
    </row>
    <row r="13">
      <c r="A13" s="21" t="n">
        <v>12</v>
      </c>
      <c r="B13" s="21" t="inlineStr">
        <is>
          <t>강구</t>
        </is>
      </c>
      <c r="C13" s="21" t="inlineStr">
        <is>
          <t>Ø6, 50개</t>
        </is>
      </c>
      <c r="D13" s="21" t="n">
        <v>1</v>
      </c>
      <c r="E13" s="21" t="inlineStr">
        <is>
          <t>러그 디텐트 3</t>
        </is>
      </c>
      <c r="F13" s="21" t="inlineStr">
        <is>
          <t>그대로</t>
        </is>
      </c>
      <c r="G13" s="21" t="inlineStr"/>
      <c r="H13" s="21" t="inlineStr">
        <is>
          <t>v3 단가</t>
        </is>
      </c>
    </row>
    <row r="14">
      <c r="A14" s="21" t="n">
        <v>13</v>
      </c>
      <c r="B14" s="21" t="inlineStr">
        <is>
          <t>샤프트 칼라 Ø6</t>
        </is>
      </c>
      <c r="C14" s="21" t="inlineStr">
        <is>
          <t>안 6.1 · 바깥 11 · 폭 6, 10개</t>
        </is>
      </c>
      <c r="D14" s="21" t="n">
        <v>1</v>
      </c>
      <c r="E14" s="21" t="inlineStr">
        <is>
          <t>레일 카트리지 6 + 여분 4</t>
        </is>
      </c>
      <c r="F14" s="21" t="inlineStr">
        <is>
          <t>그대로</t>
        </is>
      </c>
      <c r="G14" s="21" t="inlineStr">
        <is>
          <t>옵션 "01 D11xd6.1xH6mm"</t>
        </is>
      </c>
      <c r="H14" s="21" t="inlineStr">
        <is>
          <t>확인 2026-10-20</t>
        </is>
      </c>
    </row>
    <row r="15">
      <c r="A15" s="21" t="n">
        <v>14</v>
      </c>
      <c r="B15" s="21" t="inlineStr">
        <is>
          <t>압축 스프링 맞춤 제작 (C252 동등)</t>
        </is>
      </c>
      <c r="C15" s="21" t="inlineStr">
        <is>
          <t>SUS304 선경 1.6 · 외경 18.0 · 자유장 32 · 총 7권(유효 5) · 양끝 연삭</t>
        </is>
      </c>
      <c r="D15" s="21" t="n">
        <v>12</v>
      </c>
      <c r="E15" s="21" t="inlineStr">
        <is>
          <t>포크 카트리지 3 · 클러치 3 · 레버 후진 잠금 1 · 페달 복귀 2 = 9 + 여분 3</t>
        </is>
      </c>
      <c r="F15" s="21" t="inlineStr">
        <is>
          <t>디바이스마트 C252 대신 (허용 쇼핑몰에 같은 기성품 없음). 계산 k 2.56 N/mm = C252 2.555 와 같음 → 설계 그대로</t>
        </is>
      </c>
      <c r="G15" s="21" t="inlineStr">
        <is>
          <t>규격 그대로 전달: k 2.56 N/mm ±10% (21.6mm 로 누르면 26.6N), 밀착 높이 11.2 이하</t>
        </is>
      </c>
      <c r="H15" s="21" t="inlineStr">
        <is>
          <t>추정 (견적·옵션 확인 후 확정)</t>
        </is>
      </c>
    </row>
    <row r="16">
      <c r="A16" s="21" t="n">
        <v>15</v>
      </c>
      <c r="B16" s="21" t="inlineStr">
        <is>
          <t>압축 스프링 맞춤 제작 (C147 동등)</t>
        </is>
      </c>
      <c r="C16" s="21" t="inlineStr">
        <is>
          <t>SUS304 선경 0.45 · 외경 5.0 · 자유장 10 · 총 9권(유효 7)</t>
        </is>
      </c>
      <c r="D16" s="21" t="n">
        <v>6</v>
      </c>
      <c r="E16" s="21" t="inlineStr">
        <is>
          <t>러그 디텐트 3 + 여분 3</t>
        </is>
      </c>
      <c r="F16" s="21" t="inlineStr">
        <is>
          <t>디바이스마트 C147 대신. k 0.54 N/mm (C147 0.50), 5mm 로 눌러도 밀착(4.05) 안 됨</t>
        </is>
      </c>
      <c r="G16" s="21" t="inlineStr">
        <is>
          <t>같은 판매자에게 위 스프링과 함께 주문</t>
        </is>
      </c>
      <c r="H16" s="21" t="inlineStr">
        <is>
          <t>추정 (견적·옵션 확인 후 확정)</t>
        </is>
      </c>
    </row>
    <row r="17">
      <c r="A17" s="21" t="n">
        <v>16</v>
      </c>
      <c r="B17" s="21" t="inlineStr">
        <is>
          <t>M3 렌치볼트</t>
        </is>
      </c>
      <c r="C17" s="21" t="inlineStr">
        <is>
          <t>M3×8</t>
        </is>
      </c>
      <c r="D17" s="21" t="n">
        <v>11</v>
      </c>
      <c r="E17" s="21" t="inlineStr">
        <is>
          <t>포크 카트리지 뚜껑 6 · 디텐트 3 + 여분 2</t>
        </is>
      </c>
      <c r="F17" s="21" t="inlineStr">
        <is>
          <t>여분 추가</t>
        </is>
      </c>
      <c r="G17" s="21" t="inlineStr">
        <is>
          <t>스텐 유두(둥근머리) 낱개</t>
        </is>
      </c>
      <c r="H17" s="21" t="inlineStr">
        <is>
          <t>확인 2026-10-20</t>
        </is>
      </c>
    </row>
    <row r="18">
      <c r="A18" s="21" t="n">
        <v>17</v>
      </c>
      <c r="B18" s="21" t="inlineStr">
        <is>
          <t>M3 렌치볼트</t>
        </is>
      </c>
      <c r="C18" s="21" t="inlineStr">
        <is>
          <t>M3×10</t>
        </is>
      </c>
      <c r="D18" s="21" t="n">
        <v>2</v>
      </c>
      <c r="E18" s="21" t="inlineStr">
        <is>
          <t>클러치 포크 속선 누름 1 + 여분 1</t>
        </is>
      </c>
      <c r="F18" s="21" t="inlineStr">
        <is>
          <t>여분 추가</t>
        </is>
      </c>
      <c r="G18" s="21" t="inlineStr"/>
      <c r="H18" s="21" t="inlineStr">
        <is>
          <t>확인 2026-10-20</t>
        </is>
      </c>
    </row>
    <row r="19">
      <c r="A19" s="21" t="n">
        <v>18</v>
      </c>
      <c r="B19" s="21" t="inlineStr">
        <is>
          <t>M3 렌치볼트</t>
        </is>
      </c>
      <c r="C19" s="21" t="inlineStr">
        <is>
          <t>M3×12</t>
        </is>
      </c>
      <c r="D19" s="21" t="n">
        <v>40</v>
      </c>
      <c r="E19" s="21" t="inlineStr">
        <is>
          <t>칼라 7 · 클러치 덮개 7 · 축 끝 덮개 4 · 바퀴 덮개 2 · 아크릴 14 = 34 + 여분 6</t>
        </is>
      </c>
      <c r="F19" s="21" t="inlineStr">
        <is>
          <t>여분 추가</t>
        </is>
      </c>
      <c r="G19" s="21" t="inlineStr"/>
      <c r="H19" s="21" t="inlineStr">
        <is>
          <t>확인 2026-10-20</t>
        </is>
      </c>
    </row>
    <row r="20">
      <c r="A20" s="21" t="n">
        <v>19</v>
      </c>
      <c r="B20" s="21" t="inlineStr">
        <is>
          <t>M3 렌치볼트</t>
        </is>
      </c>
      <c r="C20" s="21" t="inlineStr">
        <is>
          <t>M3×16</t>
        </is>
      </c>
      <c r="D20" s="21" t="n">
        <v>3</v>
      </c>
      <c r="E20" s="21" t="inlineStr">
        <is>
          <t>바퀴 덮개 받침 2 + 여분 1</t>
        </is>
      </c>
      <c r="F20" s="21" t="inlineStr">
        <is>
          <t>여분 추가</t>
        </is>
      </c>
      <c r="G20" s="21" t="inlineStr"/>
      <c r="H20" s="21" t="inlineStr">
        <is>
          <t>확인 2026-10-20</t>
        </is>
      </c>
    </row>
    <row r="21">
      <c r="A21" s="21" t="n">
        <v>20</v>
      </c>
      <c r="B21" s="21" t="inlineStr">
        <is>
          <t>M3 렌치볼트 + 육각너트</t>
        </is>
      </c>
      <c r="C21" s="21" t="inlineStr">
        <is>
          <t>M3×20</t>
        </is>
      </c>
      <c r="D21" s="21" t="n">
        <v>11</v>
      </c>
      <c r="E21" s="21" t="inlineStr">
        <is>
          <t>슬리브 결합 9 + 여분 2</t>
        </is>
      </c>
      <c r="F21" s="21" t="inlineStr">
        <is>
          <t>여분 추가</t>
        </is>
      </c>
      <c r="G21" s="21" t="inlineStr">
        <is>
          <t>볼트 70 + 스텐 육각너트 M3 60</t>
        </is>
      </c>
      <c r="H21" s="21" t="inlineStr">
        <is>
          <t>확인 2026-10-20</t>
        </is>
      </c>
    </row>
    <row r="22">
      <c r="A22" s="21" t="n">
        <v>21</v>
      </c>
      <c r="B22" s="21" t="inlineStr">
        <is>
          <t>M3 렌치볼트</t>
        </is>
      </c>
      <c r="C22" s="21" t="inlineStr">
        <is>
          <t>M3×25</t>
        </is>
      </c>
      <c r="D22" s="21" t="n">
        <v>8</v>
      </c>
      <c r="E22" s="21" t="inlineStr">
        <is>
          <t>러그 6 + 여분 2</t>
        </is>
      </c>
      <c r="F22" s="21" t="inlineStr">
        <is>
          <t>여분 추가</t>
        </is>
      </c>
      <c r="G22" s="21" t="inlineStr">
        <is>
          <t>M3×30 안 됨 (머리가 캐리어에 닿음)</t>
        </is>
      </c>
      <c r="H22" s="21" t="inlineStr">
        <is>
          <t>확인 2026-10-20</t>
        </is>
      </c>
    </row>
    <row r="23">
      <c r="A23" s="21" t="n">
        <v>22</v>
      </c>
      <c r="B23" s="21" t="inlineStr">
        <is>
          <t>M3 렌치볼트</t>
        </is>
      </c>
      <c r="C23" s="21" t="inlineStr">
        <is>
          <t>M3×50</t>
        </is>
      </c>
      <c r="D23" s="21" t="n">
        <v>5</v>
      </c>
      <c r="E23" s="21" t="inlineStr">
        <is>
          <t>끝 채움판 4 + 여분 1</t>
        </is>
      </c>
      <c r="F23" s="21" t="inlineStr">
        <is>
          <t>여분 추가</t>
        </is>
      </c>
      <c r="G23" s="21" t="inlineStr"/>
      <c r="H23" s="21" t="inlineStr">
        <is>
          <t>확인 2026-10-20</t>
        </is>
      </c>
    </row>
    <row r="24">
      <c r="A24" s="21" t="n">
        <v>23</v>
      </c>
      <c r="B24" s="21" t="inlineStr">
        <is>
          <t>M3 무두볼트 (오목끝)</t>
        </is>
      </c>
      <c r="C24" s="21" t="inlineStr">
        <is>
          <t>M3×8</t>
        </is>
      </c>
      <c r="D24" s="21" t="n">
        <v>3</v>
      </c>
      <c r="E24" s="21" t="inlineStr">
        <is>
          <t>표시 바퀴 고정 1 + 여분 2</t>
        </is>
      </c>
      <c r="F24" s="21" t="inlineStr">
        <is>
          <t>여분 추가</t>
        </is>
      </c>
      <c r="G24" s="21" t="inlineStr"/>
      <c r="H24" s="21" t="inlineStr">
        <is>
          <t>확인 2026-10-20</t>
        </is>
      </c>
    </row>
    <row r="25">
      <c r="A25" s="21" t="n">
        <v>24</v>
      </c>
      <c r="B25" s="21" t="inlineStr">
        <is>
          <t>M3 평와셔 스텐</t>
        </is>
      </c>
      <c r="C25" s="21" t="inlineStr">
        <is>
          <t>바깥 8 × 두께 0.5</t>
        </is>
      </c>
      <c r="D25" s="21" t="n">
        <v>20</v>
      </c>
      <c r="E25" s="21" t="inlineStr">
        <is>
          <t>아크릴 나사 밑 14 · 속선 누름 1 + 여분 5</t>
        </is>
      </c>
      <c r="F25" s="21" t="inlineStr">
        <is>
          <t>여분 추가</t>
        </is>
      </c>
      <c r="G25" s="21" t="inlineStr">
        <is>
          <t>"스텐 평와셔 M3x8x0.5T"</t>
        </is>
      </c>
      <c r="H25" s="21" t="inlineStr">
        <is>
          <t>확인 2026-10-20</t>
        </is>
      </c>
    </row>
    <row r="26">
      <c r="A26" s="21" t="n">
        <v>25</v>
      </c>
      <c r="B26" s="21" t="inlineStr">
        <is>
          <t>M4 렌치볼트 + 너트</t>
        </is>
      </c>
      <c r="C26" s="21" t="inlineStr">
        <is>
          <t>M4×16</t>
        </is>
      </c>
      <c r="D26" s="21" t="n">
        <v>5</v>
      </c>
      <c r="E26" s="21" t="inlineStr">
        <is>
          <t>클러치 포크 브래킷 4 + 여분 1</t>
        </is>
      </c>
      <c r="F26" s="21" t="inlineStr">
        <is>
          <t>여분 추가</t>
        </is>
      </c>
      <c r="G26" s="21" t="inlineStr"/>
      <c r="H26" s="21" t="inlineStr">
        <is>
          <t>확인 2026-10-20</t>
        </is>
      </c>
    </row>
    <row r="27">
      <c r="A27" s="21" t="n">
        <v>26</v>
      </c>
      <c r="B27" s="21" t="inlineStr">
        <is>
          <t>M4 렌치볼트 + 너트</t>
        </is>
      </c>
      <c r="C27" s="21" t="inlineStr">
        <is>
          <t>M4×25</t>
        </is>
      </c>
      <c r="D27" s="21" t="n">
        <v>5</v>
      </c>
      <c r="E27" s="21" t="inlineStr">
        <is>
          <t>페달 발판 4 + 여분 1</t>
        </is>
      </c>
      <c r="F27" s="21" t="inlineStr">
        <is>
          <t>여분 추가</t>
        </is>
      </c>
      <c r="G27" s="21" t="inlineStr"/>
      <c r="H27" s="21" t="inlineStr">
        <is>
          <t>확인 2026-10-20</t>
        </is>
      </c>
    </row>
    <row r="28">
      <c r="A28" s="21" t="n">
        <v>27</v>
      </c>
      <c r="B28" s="21" t="inlineStr">
        <is>
          <t>M4 렌치볼트 + 너트</t>
        </is>
      </c>
      <c r="C28" s="21" t="inlineStr">
        <is>
          <t>M4×30</t>
        </is>
      </c>
      <c r="D28" s="21" t="n">
        <v>23</v>
      </c>
      <c r="E28" s="21" t="inlineStr">
        <is>
          <t>케이지 4 · 피벗 8 · 게이트 4 · 받침 브래킷 4 = 20 + 여분 3</t>
        </is>
      </c>
      <c r="F28" s="21" t="inlineStr">
        <is>
          <t>여분 추가</t>
        </is>
      </c>
      <c r="G28" s="21" t="inlineStr"/>
      <c r="H28" s="21" t="inlineStr">
        <is>
          <t>확인 2026-10-20</t>
        </is>
      </c>
    </row>
    <row r="29">
      <c r="A29" s="21" t="n">
        <v>28</v>
      </c>
      <c r="B29" s="21" t="inlineStr">
        <is>
          <t>M4 렌치볼트 + 너트</t>
        </is>
      </c>
      <c r="C29" s="21" t="inlineStr">
        <is>
          <t>M4×60</t>
        </is>
      </c>
      <c r="D29" s="21" t="n">
        <v>4</v>
      </c>
      <c r="E29" s="21" t="inlineStr">
        <is>
          <t>클러치 기둥 3 + 여분 1</t>
        </is>
      </c>
      <c r="F29" s="21" t="inlineStr">
        <is>
          <t>여분 추가</t>
        </is>
      </c>
      <c r="G29" s="21" t="inlineStr"/>
      <c r="H29" s="21" t="inlineStr">
        <is>
          <t>확인 2026-10-20</t>
        </is>
      </c>
    </row>
    <row r="30">
      <c r="A30" s="21" t="n">
        <v>29</v>
      </c>
      <c r="B30" s="21" t="inlineStr">
        <is>
          <t>M5 렌치볼트 + 너트</t>
        </is>
      </c>
      <c r="C30" s="21" t="inlineStr">
        <is>
          <t>M5×10</t>
        </is>
      </c>
      <c r="D30" s="21" t="n">
        <v>4</v>
      </c>
      <c r="E30" s="21" t="inlineStr">
        <is>
          <t>클러치 조절나사 3 + 여분 1</t>
        </is>
      </c>
      <c r="F30" s="21" t="inlineStr">
        <is>
          <t>여분 추가</t>
        </is>
      </c>
      <c r="G30" s="21" t="inlineStr">
        <is>
          <t>M5×12 이상 금지 (클러치 토크 초과)</t>
        </is>
      </c>
      <c r="H30" s="21" t="inlineStr">
        <is>
          <t>확인 2026-10-20</t>
        </is>
      </c>
    </row>
    <row r="31">
      <c r="A31" s="21" t="n">
        <v>30</v>
      </c>
      <c r="B31" s="21" t="inlineStr">
        <is>
          <t>M5 렌치볼트 + 너트</t>
        </is>
      </c>
      <c r="C31" s="21" t="inlineStr">
        <is>
          <t>M5×20</t>
        </is>
      </c>
      <c r="D31" s="21" t="n">
        <v>4</v>
      </c>
      <c r="E31" s="21" t="inlineStr">
        <is>
          <t>클러치 릴리스 누름 3 + 여분 1</t>
        </is>
      </c>
      <c r="F31" s="21" t="inlineStr">
        <is>
          <t>여분 추가</t>
        </is>
      </c>
      <c r="G31" s="21" t="inlineStr"/>
      <c r="H31" s="21" t="inlineStr">
        <is>
          <t>확인 2026-10-20</t>
        </is>
      </c>
    </row>
    <row r="32">
      <c r="A32" s="21" t="n">
        <v>31</v>
      </c>
      <c r="B32" s="21" t="inlineStr">
        <is>
          <t>M5 조정용 볼트 세트</t>
        </is>
      </c>
      <c r="C32" s="21" t="inlineStr">
        <is>
          <t>M5×8 3 + M5×12 3 + M5 평와셔 3</t>
        </is>
      </c>
      <c r="D32" s="21" t="n">
        <v>1</v>
      </c>
      <c r="E32" s="21" t="inlineStr">
        <is>
          <t>클러치 토크 시험 3 결과로 조절나사 바꿈</t>
        </is>
      </c>
      <c r="F32" s="21" t="inlineStr">
        <is>
          <t>그대로</t>
        </is>
      </c>
      <c r="G32" s="21" t="inlineStr"/>
      <c r="H32" s="21" t="inlineStr">
        <is>
          <t>확인 2026-10-20</t>
        </is>
      </c>
    </row>
    <row r="33">
      <c r="A33" s="21" t="n">
        <v>32</v>
      </c>
      <c r="B33" s="21" t="inlineStr">
        <is>
          <t>M5 렌치볼트 + 나일론 너트</t>
        </is>
      </c>
      <c r="C33" s="21" t="inlineStr">
        <is>
          <t>M5×70</t>
        </is>
      </c>
      <c r="D33" s="21" t="n">
        <v>2</v>
      </c>
      <c r="E33" s="21" t="inlineStr">
        <is>
          <t>클러치 포크 피벗 1 + 여분 1</t>
        </is>
      </c>
      <c r="F33" s="21" t="inlineStr">
        <is>
          <t>여분 추가</t>
        </is>
      </c>
      <c r="G33" s="21" t="inlineStr"/>
      <c r="H33" s="21" t="inlineStr">
        <is>
          <t>확인 2026-10-20</t>
        </is>
      </c>
    </row>
    <row r="34">
      <c r="A34" s="21" t="n">
        <v>33</v>
      </c>
      <c r="B34" s="21" t="inlineStr">
        <is>
          <t>M6 렌치볼트</t>
        </is>
      </c>
      <c r="C34" s="21" t="inlineStr">
        <is>
          <t>M6×25</t>
        </is>
      </c>
      <c r="D34" s="21" t="n">
        <v>7</v>
      </c>
      <c r="E34" s="21" t="inlineStr">
        <is>
          <t>모터 받침 4 · 페달 피벗 2 + 여분 1</t>
        </is>
      </c>
      <c r="F34" s="21" t="inlineStr">
        <is>
          <t>여분 추가</t>
        </is>
      </c>
      <c r="G34" s="21" t="inlineStr">
        <is>
          <t>M6×30 이상 금지</t>
        </is>
      </c>
      <c r="H34" s="21" t="inlineStr">
        <is>
          <t>확인 2026-10-20</t>
        </is>
      </c>
    </row>
    <row r="35">
      <c r="A35" s="21" t="n">
        <v>34</v>
      </c>
      <c r="B35" s="21" t="inlineStr">
        <is>
          <t>M6 너트</t>
        </is>
      </c>
      <c r="C35" s="21" t="inlineStr">
        <is>
          <t>M6 (맞변 10)</t>
        </is>
      </c>
      <c r="D35" s="21" t="n">
        <v>5</v>
      </c>
      <c r="E35" s="21" t="inlineStr">
        <is>
          <t>모터 받침 4 + 여분 1</t>
        </is>
      </c>
      <c r="F35" s="21" t="inlineStr">
        <is>
          <t>여분 추가</t>
        </is>
      </c>
      <c r="G35" s="21" t="inlineStr"/>
      <c r="H35" s="21" t="inlineStr">
        <is>
          <t>확인 2026-10-20</t>
        </is>
      </c>
    </row>
    <row r="36">
      <c r="A36" s="21" t="n">
        <v>35</v>
      </c>
      <c r="B36" s="21" t="inlineStr">
        <is>
          <t>M6 나일론 너트</t>
        </is>
      </c>
      <c r="C36" s="21" t="inlineStr">
        <is>
          <t>M6 (DIN985)</t>
        </is>
      </c>
      <c r="D36" s="21" t="n">
        <v>3</v>
      </c>
      <c r="E36" s="21" t="inlineStr">
        <is>
          <t>페달 피벗 2 + 여분 1</t>
        </is>
      </c>
      <c r="F36" s="21" t="inlineStr">
        <is>
          <t>여분 추가</t>
        </is>
      </c>
      <c r="G36" s="21" t="inlineStr"/>
      <c r="H36" s="21" t="inlineStr">
        <is>
          <t>확인 2026-10-20</t>
        </is>
      </c>
    </row>
    <row r="37">
      <c r="A37" s="21" t="n">
        <v>36</v>
      </c>
      <c r="B37" s="21" t="inlineStr">
        <is>
          <t>목재 나사 스텐 둥근머리</t>
        </is>
      </c>
      <c r="C37" s="21" t="inlineStr">
        <is>
          <t>4×16, 26개 봉</t>
        </is>
      </c>
      <c r="D37" s="21" t="n">
        <v>2</v>
      </c>
      <c r="E37" s="21" t="inlineStr">
        <is>
          <t>받침 브래킷 8 · 클러치 덮개 4 · 모터 받침 4 · 페달 받침 8 = 24 + 여분</t>
        </is>
      </c>
      <c r="F37" s="21" t="inlineStr">
        <is>
          <t>1봉 → 2봉</t>
        </is>
      </c>
      <c r="G37" s="21" t="inlineStr">
        <is>
          <t>옵션 "e)4x16mm-26개", 4×20 이상 안 됨</t>
        </is>
      </c>
      <c r="H37" s="21" t="inlineStr">
        <is>
          <t>확인 2026-10-20</t>
        </is>
      </c>
    </row>
    <row r="38">
      <c r="A38" s="21" t="n">
        <v>37</v>
      </c>
      <c r="B38" s="21" t="inlineStr">
        <is>
          <t>2액형 에폭시 접착제</t>
        </is>
      </c>
      <c r="C38" s="21" t="inlineStr">
        <is>
          <t>주사기형 25ml</t>
        </is>
      </c>
      <c r="D38" s="21" t="n">
        <v>2</v>
      </c>
      <c r="E38" s="21" t="inlineStr">
        <is>
          <t>레버봉·아이들러 축·클러치 와셔·쿠션 24·가변저항</t>
        </is>
      </c>
      <c r="F38" s="21" t="inlineStr">
        <is>
          <t>1 → 2 (쿠션 24개)</t>
        </is>
      </c>
      <c r="G38" s="21" t="inlineStr"/>
      <c r="H38" s="21" t="inlineStr">
        <is>
          <t>확인 2026-10-20</t>
        </is>
      </c>
    </row>
    <row r="39">
      <c r="A39" s="21" t="n">
        <v>38</v>
      </c>
      <c r="B39" s="21" t="inlineStr">
        <is>
          <t>순간접착제</t>
        </is>
      </c>
      <c r="C39" s="21" t="inlineStr">
        <is>
          <t>젤 타입 2개</t>
        </is>
      </c>
      <c r="D39" s="21" t="n">
        <v>1</v>
      </c>
      <c r="E39" s="21" t="inlineStr">
        <is>
          <t>덮개 스위치·홀센서·자석</t>
        </is>
      </c>
      <c r="F39" s="21" t="inlineStr">
        <is>
          <t>그대로</t>
        </is>
      </c>
      <c r="G39" s="21" t="inlineStr"/>
      <c r="H39" s="21" t="inlineStr">
        <is>
          <t>확인 2026-10-20</t>
        </is>
      </c>
    </row>
    <row r="40">
      <c r="A40" s="21" t="n">
        <v>39</v>
      </c>
      <c r="B40" s="21" t="inlineStr">
        <is>
          <t>자전거 브레이크 케이블 세트</t>
        </is>
      </c>
      <c r="C40" s="21" t="inlineStr">
        <is>
          <t>속선 2 + 아우터 Ø5 + 끝 캡</t>
        </is>
      </c>
      <c r="D40" s="21" t="n">
        <v>1</v>
      </c>
      <c r="E40" s="21" t="inlineStr">
        <is>
          <t>클러치 페달 → 클러치 포크 (속선 1 여분)</t>
        </is>
      </c>
      <c r="F40" s="21" t="inlineStr">
        <is>
          <t>그대로</t>
        </is>
      </c>
      <c r="G40" s="21" t="inlineStr">
        <is>
          <t>아우터 바깥지름 5</t>
        </is>
      </c>
      <c r="H40" s="21" t="inlineStr">
        <is>
          <t>확인 2026-10-20</t>
        </is>
      </c>
    </row>
    <row r="41">
      <c r="A41" s="21" t="n">
        <v>40</v>
      </c>
      <c r="B41" s="21" t="inlineStr">
        <is>
          <t>MDF 판</t>
        </is>
      </c>
      <c r="C41" s="21" t="inlineStr">
        <is>
          <t>12T 300×1200 재단</t>
        </is>
      </c>
      <c r="D41" s="21" t="n">
        <v>1</v>
      </c>
      <c r="E41" s="21" t="inlineStr">
        <is>
          <t>바닥판 750×300 + 페달 받침판 450×300</t>
        </is>
      </c>
      <c r="F41" s="21" t="inlineStr">
        <is>
          <t>그대로</t>
        </is>
      </c>
      <c r="G41" s="21" t="inlineStr"/>
      <c r="H41" s="21" t="inlineStr">
        <is>
          <t>v3 단가</t>
        </is>
      </c>
    </row>
    <row r="42">
      <c r="A42" s="21" t="n">
        <v>41</v>
      </c>
      <c r="B42" s="21" t="inlineStr">
        <is>
          <t>투명 아크릴 3T 치수 재단</t>
        </is>
      </c>
      <c r="C42" s="21" t="inlineStr">
        <is>
          <t>250×321</t>
        </is>
      </c>
      <c r="D42" s="21" t="n">
        <v>1</v>
      </c>
      <c r="E42" s="21" t="inlineStr">
        <is>
          <t>덮개 윗판</t>
        </is>
      </c>
      <c r="F42" s="21" t="inlineStr">
        <is>
          <t>A3 원판을 손으로 자르는 대신 치수 재단 (모서리 곧음)</t>
        </is>
      </c>
      <c r="G42" s="21" t="inlineStr">
        <is>
          <t>옵션에 크기 입력, 구멍은 직접 Ø3.4 (설계서 5장 위치)</t>
        </is>
      </c>
      <c r="H42" s="21" t="inlineStr">
        <is>
          <t>추정 (견적·옵션 확인 후 확정)</t>
        </is>
      </c>
    </row>
    <row r="43">
      <c r="A43" s="21" t="n">
        <v>42</v>
      </c>
      <c r="B43" s="21" t="inlineStr">
        <is>
          <t>투명 아크릴 3T 치수 재단</t>
        </is>
      </c>
      <c r="C43" s="21" t="inlineStr">
        <is>
          <t>200×321</t>
        </is>
      </c>
      <c r="D43" s="21" t="n">
        <v>2</v>
      </c>
      <c r="E43" s="21" t="inlineStr">
        <is>
          <t>덮개 옆판 2</t>
        </is>
      </c>
      <c r="F43" s="21" t="inlineStr">
        <is>
          <t>같음</t>
        </is>
      </c>
      <c r="G43" s="21" t="inlineStr">
        <is>
          <t>같음</t>
        </is>
      </c>
      <c r="H43" s="21" t="inlineStr">
        <is>
          <t>추정 (견적·옵션 확인 후 확정)</t>
        </is>
      </c>
    </row>
    <row r="44">
      <c r="A44" s="21" t="n">
        <v>43</v>
      </c>
      <c r="B44" s="21" t="inlineStr">
        <is>
          <t>투명 아크릴 A3 3T (여분)</t>
        </is>
      </c>
      <c r="C44" s="21" t="inlineStr">
        <is>
          <t>297×420</t>
        </is>
      </c>
      <c r="D44" s="21" t="n">
        <v>1</v>
      </c>
      <c r="E44" s="21" t="inlineStr">
        <is>
          <t>구멍 뚫다 깨질 때 바로 다시 자름</t>
        </is>
      </c>
      <c r="F44" s="21" t="inlineStr">
        <is>
          <t>새로 추가</t>
        </is>
      </c>
      <c r="G44" s="21" t="inlineStr"/>
      <c r="H44" s="21" t="inlineStr">
        <is>
          <t>v3 단가</t>
        </is>
      </c>
    </row>
    <row r="45">
      <c r="A45" s="21" t="n">
        <v>44</v>
      </c>
      <c r="B45" s="21" t="inlineStr">
        <is>
          <t>PTFE 합성 그리스 (슈퍼루브)</t>
        </is>
      </c>
      <c r="C45" s="21" t="inlineStr">
        <is>
          <t>85g</t>
        </is>
      </c>
      <c r="D45" s="21" t="n">
        <v>1</v>
      </c>
      <c r="E45" s="21" t="inlineStr">
        <is>
          <t>기어 이·슬리브 키·레일</t>
        </is>
      </c>
      <c r="F45" s="21" t="inlineStr">
        <is>
          <t>새로 추가: 플라스틱에 써도 되는 그리스 → 마모·소음 줄임</t>
        </is>
      </c>
      <c r="G45" s="21" t="inlineStr">
        <is>
          <t>PTFE(테프론) 합성 그리스</t>
        </is>
      </c>
      <c r="H45" s="21" t="inlineStr">
        <is>
          <t>추정 (견적·옵션 확인 후 확정)</t>
        </is>
      </c>
    </row>
    <row r="46">
      <c r="A46" s="21" t="n">
        <v>45</v>
      </c>
      <c r="B46" s="21" t="inlineStr">
        <is>
          <t>나사 고정제 록타이트 243</t>
        </is>
      </c>
      <c r="C46" s="21" t="inlineStr">
        <is>
          <t>10ml</t>
        </is>
      </c>
      <c r="D46" s="21" t="n">
        <v>1</v>
      </c>
      <c r="E46" s="21" t="inlineStr">
        <is>
          <t>금속끼리 나사: 칼라 무두볼트, 모터 M6</t>
        </is>
      </c>
      <c r="F46" s="21" t="inlineStr">
        <is>
          <t>새로 추가: 모터 진동으로 풀림 방지 (PLA 에는 쓰지 않음)</t>
        </is>
      </c>
      <c r="G46" s="21" t="inlineStr"/>
      <c r="H46" s="21" t="inlineStr">
        <is>
          <t>검색 결과 2026-10-22 (화면 미확인)</t>
        </is>
      </c>
    </row>
    <row r="47">
      <c r="A47" s="21" t="n">
        <v>46</v>
      </c>
      <c r="B47" s="21" t="inlineStr">
        <is>
          <t>열수축 튜브 세트</t>
        </is>
      </c>
      <c r="C47" s="21" t="inlineStr">
        <is>
          <t>530개</t>
        </is>
      </c>
      <c r="D47" s="21" t="n">
        <v>1</v>
      </c>
      <c r="E47" s="21" t="inlineStr">
        <is>
          <t>홀센서·가변저항·스위치 납땜부 절연</t>
        </is>
      </c>
      <c r="F47" s="21" t="inlineStr">
        <is>
          <t>새로 추가</t>
        </is>
      </c>
      <c r="G47" s="21" t="inlineStr"/>
      <c r="H47" s="21" t="inlineStr">
        <is>
          <t>추정 (견적·옵션 확인 후 확정)</t>
        </is>
      </c>
    </row>
    <row r="48">
      <c r="A48" s="21" t="n">
        <v>47</v>
      </c>
      <c r="B48" s="21" t="inlineStr">
        <is>
          <t>케이블 타이</t>
        </is>
      </c>
      <c r="C48" s="21" t="inlineStr">
        <is>
          <t>100개</t>
        </is>
      </c>
      <c r="D48" s="21" t="n">
        <v>1</v>
      </c>
      <c r="E48" s="21" t="inlineStr">
        <is>
          <t>배선 정리 (돌아가는 부품에 안 닿게)</t>
        </is>
      </c>
      <c r="F48" s="21" t="inlineStr">
        <is>
          <t>새로 추가</t>
        </is>
      </c>
      <c r="G48" s="21" t="inlineStr"/>
      <c r="H48" s="21" t="inlineStr">
        <is>
          <t>추정 (견적·옵션 확인 후 확정)</t>
        </is>
      </c>
    </row>
    <row r="49">
      <c r="A49" s="21" t="n">
        <v>48</v>
      </c>
      <c r="B49" s="21" t="inlineStr">
        <is>
          <t>신호선 22AWG 연선</t>
        </is>
      </c>
      <c r="C49" s="21" t="inlineStr">
        <is>
          <t>6색, 색마다 5m</t>
        </is>
      </c>
      <c r="D49" s="21" t="n">
        <v>1</v>
      </c>
      <c r="E49" s="21" t="inlineStr">
        <is>
          <t>페달·핸들 가변저항, 홀센서 → 아두이노 (점퍼선 40cm 로 안 닿는 곳)</t>
        </is>
      </c>
      <c r="F49" s="21" t="inlineStr">
        <is>
          <t>새로 추가</t>
        </is>
      </c>
      <c r="G49" s="21" t="inlineStr">
        <is>
          <t>m 단위 판매 → 색마다 5m</t>
        </is>
      </c>
      <c r="H49" s="21" t="inlineStr">
        <is>
          <t>추정 (견적·옵션 확인 후 확정)</t>
        </is>
      </c>
    </row>
    <row r="50">
      <c r="A50" s="21" t="n">
        <v>49</v>
      </c>
      <c r="B50" s="21" t="inlineStr">
        <is>
          <t>디지털 멀티미터 (오토 레인지)</t>
        </is>
      </c>
      <c r="C50" s="21" t="inlineStr"/>
      <c r="D50" s="21" t="n">
        <v>1</v>
      </c>
      <c r="E50" s="21" t="inlineStr">
        <is>
          <t>퓨즈·릴레이·스위치·센서 배선 점검</t>
        </is>
      </c>
      <c r="F50" s="21" t="inlineStr">
        <is>
          <t>새로 추가 (학교에 있으면 뺌)</t>
        </is>
      </c>
      <c r="G50" s="21" t="inlineStr"/>
      <c r="H50" s="21" t="inlineStr">
        <is>
          <t>검색 결과 2026-10-22 (화면 미확인)</t>
        </is>
      </c>
    </row>
    <row r="51">
      <c r="A51" s="21" t="n">
        <v>50</v>
      </c>
      <c r="B51" s="21" t="inlineStr">
        <is>
          <t>HSS 드릴 날 세트</t>
        </is>
      </c>
      <c r="C51" s="21" t="inlineStr">
        <is>
          <t>19개 (1~10mm)</t>
        </is>
      </c>
      <c r="D51" s="21" t="n">
        <v>1</v>
      </c>
      <c r="E51" s="21" t="inlineStr">
        <is>
          <t>MDF 목재나사 밑구멍 Ø2.5, 아크릴 Ø3.4</t>
        </is>
      </c>
      <c r="F51" s="21" t="inlineStr">
        <is>
          <t>새로 추가 (보유한 것은 Ø3.4 하나)</t>
        </is>
      </c>
      <c r="G51" s="21" t="inlineStr"/>
      <c r="H51" s="21" t="inlineStr">
        <is>
          <t>검색 결과 2026-10-22 (화면 미확인)</t>
        </is>
      </c>
    </row>
    <row r="52">
      <c r="A52" s="21" t="n">
        <v>51</v>
      </c>
      <c r="B52" s="21" t="inlineStr">
        <is>
          <t>아두이노 레오나르도 R3 + USB 케이블</t>
        </is>
      </c>
      <c r="C52" s="21" t="inlineStr">
        <is>
          <t>ATmega32u4</t>
        </is>
      </c>
      <c r="D52" s="21" t="n">
        <v>2</v>
      </c>
      <c r="E52" s="21" t="inlineStr">
        <is>
          <t>게임 입력·모터 허가 1 + 여분 1</t>
        </is>
      </c>
      <c r="F52" s="21" t="inlineStr">
        <is>
          <t>여분 추가 (전시 중 고장 대비)</t>
        </is>
      </c>
      <c r="G52" s="21" t="inlineStr"/>
      <c r="H52" s="21" t="inlineStr">
        <is>
          <t>v3 단가</t>
        </is>
      </c>
    </row>
    <row r="53">
      <c r="A53" s="21" t="n">
        <v>52</v>
      </c>
      <c r="B53" s="21" t="inlineStr">
        <is>
          <t>홀센서 A3144</t>
        </is>
      </c>
      <c r="C53" s="21" t="inlineStr">
        <is>
          <t>3핀</t>
        </is>
      </c>
      <c r="D53" s="21" t="n">
        <v>10</v>
      </c>
      <c r="E53" s="21" t="inlineStr">
        <is>
          <t>기어 위치 6 · 출력 rpm 1 + 여분 3</t>
        </is>
      </c>
      <c r="F53" s="21" t="inlineStr">
        <is>
          <t>그대로</t>
        </is>
      </c>
      <c r="G53" s="21" t="inlineStr"/>
      <c r="H53" s="21" t="inlineStr">
        <is>
          <t>v3 단가</t>
        </is>
      </c>
    </row>
    <row r="54">
      <c r="A54" s="21" t="n">
        <v>53</v>
      </c>
      <c r="B54" s="21" t="inlineStr">
        <is>
          <t>네오디뮴 자석</t>
        </is>
      </c>
      <c r="C54" s="21" t="inlineStr">
        <is>
          <t>Ø6×3, 40개</t>
        </is>
      </c>
      <c r="D54" s="21" t="n">
        <v>1</v>
      </c>
      <c r="E54" s="21" t="inlineStr">
        <is>
          <t>러그 3 · 표시 바퀴 4 + 여분</t>
        </is>
      </c>
      <c r="F54" s="21" t="inlineStr">
        <is>
          <t>디바이스마트 10개 대신</t>
        </is>
      </c>
      <c r="G54" s="21" t="inlineStr"/>
      <c r="H54" s="21" t="inlineStr">
        <is>
          <t>검색 결과 2026-10-22 (화면 미확인)</t>
        </is>
      </c>
    </row>
    <row r="55">
      <c r="A55" s="21" t="n">
        <v>54</v>
      </c>
      <c r="B55" s="21" t="inlineStr">
        <is>
          <t>가변저항 B10K WH148</t>
        </is>
      </c>
      <c r="C55" s="21" t="inlineStr">
        <is>
          <t>하프(D)축 Ø6 15mm, 3핀, 부싱 M7</t>
        </is>
      </c>
      <c r="D55" s="21" t="n">
        <v>5</v>
      </c>
      <c r="E55" s="21" t="inlineStr">
        <is>
          <t>클러치·브레이크 페달 2 · 핸들 1 + 여분 2</t>
        </is>
      </c>
      <c r="F55" s="21" t="inlineStr">
        <is>
          <t>디바이스마트 P160 대신. 축이 톱니(널링)가 아닌 D축이어야 페달 팔에 맞음</t>
        </is>
      </c>
      <c r="G55" s="21" t="inlineStr">
        <is>
          <t>상품명에 "하프 샤프트 15mm"·B10K, 노브 없는 것. 도착하면 축 치수 재고 80·82 출력</t>
        </is>
      </c>
      <c r="H55" s="21" t="inlineStr">
        <is>
          <t>검색 결과 2026-10-22 (화면 미확인), 1개 값인지 확인</t>
        </is>
      </c>
    </row>
    <row r="56">
      <c r="A56" s="21" t="n">
        <v>55</v>
      </c>
      <c r="B56" s="21" t="inlineStr">
        <is>
          <t>마이크로스위치 KW-11-3Z</t>
        </is>
      </c>
      <c r="C56" s="21" t="inlineStr">
        <is>
          <t>레버형</t>
        </is>
      </c>
      <c r="D56" s="21" t="n">
        <v>2</v>
      </c>
      <c r="E56" s="21" t="inlineStr">
        <is>
          <t>덮개 열림 감지 1 + 여분 1</t>
        </is>
      </c>
      <c r="F56" s="21" t="inlineStr">
        <is>
          <t>그대로</t>
        </is>
      </c>
      <c r="G56" s="21" t="inlineStr"/>
      <c r="H56" s="21" t="inlineStr">
        <is>
          <t>v3 단가</t>
        </is>
      </c>
    </row>
    <row r="57">
      <c r="A57" s="21" t="n">
        <v>56</v>
      </c>
      <c r="B57" s="21" t="inlineStr">
        <is>
          <t>점퍼 케이블 M-F</t>
        </is>
      </c>
      <c r="C57" s="21" t="inlineStr">
        <is>
          <t>40P 40cm</t>
        </is>
      </c>
      <c r="D57" s="21" t="n">
        <v>1</v>
      </c>
      <c r="E57" s="21" t="inlineStr">
        <is>
          <t>센서 배선</t>
        </is>
      </c>
      <c r="F57" s="21" t="inlineStr">
        <is>
          <t>그대로</t>
        </is>
      </c>
      <c r="G57" s="21" t="inlineStr"/>
      <c r="H57" s="21" t="inlineStr">
        <is>
          <t>v3 단가</t>
        </is>
      </c>
    </row>
    <row r="58">
      <c r="A58" s="21" t="n">
        <v>57</v>
      </c>
      <c r="B58" s="21" t="inlineStr">
        <is>
          <t>만능기판</t>
        </is>
      </c>
      <c r="C58" s="21" t="inlineStr">
        <is>
          <t>양면, 묶음</t>
        </is>
      </c>
      <c r="D58" s="21" t="n">
        <v>1</v>
      </c>
      <c r="E58" s="21" t="inlineStr">
        <is>
          <t>센서 배선 기판 (실수하면 새 판)</t>
        </is>
      </c>
      <c r="F58" s="21" t="inlineStr">
        <is>
          <t>디바이스마트 1장 대신</t>
        </is>
      </c>
      <c r="G58" s="21" t="inlineStr"/>
      <c r="H58" s="21" t="inlineStr">
        <is>
          <t>검색 결과 2026-10-22 (화면 미확인)</t>
        </is>
      </c>
    </row>
    <row r="59">
      <c r="A59" s="21" t="n">
        <v>58</v>
      </c>
      <c r="B59" s="21" t="inlineStr">
        <is>
          <t>자동차 릴레이 12V 40A + 소켓</t>
        </is>
      </c>
      <c r="C59" s="21" t="inlineStr">
        <is>
          <t>4핀, 배선된 소켓</t>
        </is>
      </c>
      <c r="D59" s="21" t="n">
        <v>2</v>
      </c>
      <c r="E59" s="21" t="inlineStr">
        <is>
          <t>모터 주 스위치 1 + 여분 1</t>
        </is>
      </c>
      <c r="F59" s="21" t="inlineStr">
        <is>
          <t>여분 추가</t>
        </is>
      </c>
      <c r="G59" s="21" t="inlineStr"/>
      <c r="H59" s="21" t="inlineStr">
        <is>
          <t>확인 2026-10-20</t>
        </is>
      </c>
    </row>
    <row r="60">
      <c r="A60" s="21" t="n">
        <v>59</v>
      </c>
      <c r="B60" s="21" t="inlineStr">
        <is>
          <t>블레이드 퓨즈 + 인라인 홀더 세트</t>
        </is>
      </c>
      <c r="C60" s="21" t="inlineStr">
        <is>
          <t>15A 포함, 홀더 4 + 퓨즈 12</t>
        </is>
      </c>
      <c r="D60" s="21" t="n">
        <v>1</v>
      </c>
      <c r="E60" s="21" t="inlineStr">
        <is>
          <t>배터리 + 단자 바로 옆</t>
        </is>
      </c>
      <c r="F60" s="21" t="inlineStr">
        <is>
          <t>그대로 (여분 퓨즈 포함)</t>
        </is>
      </c>
      <c r="G60" s="21" t="inlineStr"/>
      <c r="H60" s="21" t="inlineStr">
        <is>
          <t>확인 2026-10-20</t>
        </is>
      </c>
    </row>
    <row r="61">
      <c r="A61" s="21" t="n">
        <v>60</v>
      </c>
      <c r="B61" s="21" t="inlineStr">
        <is>
          <t>비상정지 스위치 22mm</t>
        </is>
      </c>
      <c r="C61" s="21" t="inlineStr">
        <is>
          <t>버섯형, 1a1b, 명판 포함 (A20B-V4E11R)</t>
        </is>
      </c>
      <c r="D61" s="21" t="n">
        <v>1</v>
      </c>
      <c r="E61" s="21" t="inlineStr">
        <is>
          <t>운영자 비상 차단 (릴레이 코일 회로, b접점)</t>
        </is>
      </c>
      <c r="F61" s="21" t="inlineStr">
        <is>
          <t>디바이스마트 KGE-C4R1R 대신</t>
        </is>
      </c>
      <c r="G61" s="21" t="inlineStr">
        <is>
          <t>b접점(1b) 있는지</t>
        </is>
      </c>
      <c r="H61" s="21" t="inlineStr">
        <is>
          <t>검색 결과 2026-10-22 (화면 미확인)</t>
        </is>
      </c>
    </row>
    <row r="62">
      <c r="A62" s="21" t="n">
        <v>61</v>
      </c>
      <c r="B62" s="21" t="inlineStr">
        <is>
          <t>비상정지 스위치 박스</t>
        </is>
      </c>
      <c r="C62" s="21" t="inlineStr">
        <is>
          <t>1구 (22mm 구멍)</t>
        </is>
      </c>
      <c r="D62" s="21" t="n">
        <v>1</v>
      </c>
      <c r="E62" s="21" t="inlineStr">
        <is>
          <t>비상정지 스위치를 넣어 운영자 앞 책상에 둠</t>
        </is>
      </c>
      <c r="F62" s="21" t="inlineStr">
        <is>
          <t>새로 추가: 판에 25mm 구멍을 안 뚫어도 됨</t>
        </is>
      </c>
      <c r="G62" s="21" t="inlineStr">
        <is>
          <t>옵션 1구, 구멍 22mm</t>
        </is>
      </c>
      <c r="H62" s="21" t="inlineStr">
        <is>
          <t>검색 결과 2026-10-22 (화면 미확인)</t>
        </is>
      </c>
    </row>
    <row r="63">
      <c r="A63" s="21" t="n">
        <v>62</v>
      </c>
      <c r="B63" s="21" t="inlineStr">
        <is>
          <t>5V 릴레이 모듈 1채널</t>
        </is>
      </c>
      <c r="C63" s="21" t="inlineStr">
        <is>
          <t>DM106</t>
        </is>
      </c>
      <c r="D63" s="21" t="n">
        <v>2</v>
      </c>
      <c r="E63" s="21" t="inlineStr">
        <is>
          <t>아두이노 감시 → 주 릴레이 코일 차단 1 + 여분 1</t>
        </is>
      </c>
      <c r="F63" s="21" t="inlineStr">
        <is>
          <t>디바이스마트 로우 트리거 모듈 대신</t>
        </is>
      </c>
      <c r="G63" s="21" t="inlineStr">
        <is>
          <t>하이/로우 트리거는 펌웨어 RELAY_ACTIVE_LOW 로 맞춤</t>
        </is>
      </c>
      <c r="H63" s="21" t="inlineStr">
        <is>
          <t>추정 (견적·옵션 확인 후 확정)</t>
        </is>
      </c>
    </row>
    <row r="64">
      <c r="A64" s="21" t="n">
        <v>63</v>
      </c>
      <c r="B64" s="21" t="inlineStr">
        <is>
          <t>다이오드 1N4007</t>
        </is>
      </c>
      <c r="C64" s="21" t="inlineStr">
        <is>
          <t>10개</t>
        </is>
      </c>
      <c r="D64" s="21" t="n">
        <v>1</v>
      </c>
      <c r="E64" s="21" t="inlineStr">
        <is>
          <t>주 릴레이 코일 역기전력 흡수 + 여분</t>
        </is>
      </c>
      <c r="F64" s="21" t="inlineStr">
        <is>
          <t>디바이스마트 대신</t>
        </is>
      </c>
      <c r="G64" s="21" t="inlineStr"/>
      <c r="H64" s="21" t="inlineStr">
        <is>
          <t>검색 결과 2026-10-22 (화면 미확인)</t>
        </is>
      </c>
    </row>
    <row r="65">
      <c r="A65" s="21" t="n">
        <v>64</v>
      </c>
      <c r="B65" s="21" t="inlineStr">
        <is>
          <t>저항 세트 1/4W</t>
        </is>
      </c>
      <c r="C65" s="21" t="inlineStr">
        <is>
          <t>30종 × 20개 (10kΩ·4.7kΩ 포함)</t>
        </is>
      </c>
      <c r="D65" s="21" t="n">
        <v>1</v>
      </c>
      <c r="E65" s="21" t="inlineStr">
        <is>
          <t>안전 회로 감지 (비상정지·덮개 뒤 12V → 아두이노 A4)</t>
        </is>
      </c>
      <c r="F65" s="21" t="inlineStr">
        <is>
          <t>디바이스마트 2종 대신 세트</t>
        </is>
      </c>
      <c r="G65" s="21" t="inlineStr">
        <is>
          <t>10kΩ·4.7kΩ 들어 있는지</t>
        </is>
      </c>
      <c r="H65" s="21" t="inlineStr">
        <is>
          <t>검색 결과 2026-10-22 (화면 미확인)</t>
        </is>
      </c>
    </row>
    <row r="66">
      <c r="A66" s="21" t="n">
        <v>65</v>
      </c>
      <c r="B66" s="21" t="inlineStr">
        <is>
          <t>실리콘 전선 16AWG 빨강·검정</t>
        </is>
      </c>
      <c r="C66" s="21" t="inlineStr">
        <is>
          <t>1m 세트</t>
        </is>
      </c>
      <c r="D66" s="21" t="n">
        <v>3</v>
      </c>
      <c r="E66" s="21" t="inlineStr">
        <is>
          <t>배터리-퓨즈-릴레이-모터 드라이버 (2m 필요 + 여분 1m)</t>
        </is>
      </c>
      <c r="F66" s="21" t="inlineStr">
        <is>
          <t>2 → 3</t>
        </is>
      </c>
      <c r="G66" s="21" t="inlineStr"/>
      <c r="H66" s="21" t="inlineStr">
        <is>
          <t>확인 2026-10-20</t>
        </is>
      </c>
    </row>
    <row r="67">
      <c r="A67" s="21" t="n">
        <v>66</v>
      </c>
      <c r="B67" s="21" t="inlineStr">
        <is>
          <t>절연 암 평형 단자 250 (6.3mm)</t>
        </is>
      </c>
      <c r="C67" s="21" t="inlineStr">
        <is>
          <t>22~16AWG, 2개 봉</t>
        </is>
      </c>
      <c r="D67" s="21" t="n">
        <v>5</v>
      </c>
      <c r="E67" s="21" t="inlineStr">
        <is>
          <t>퓨즈 홀더·릴레이 소켓 연결 + 여분 (압착 실수)</t>
        </is>
      </c>
      <c r="F67" s="21" t="inlineStr">
        <is>
          <t>3 → 5</t>
        </is>
      </c>
      <c r="G67" s="21" t="inlineStr"/>
      <c r="H67" s="21" t="inlineStr">
        <is>
          <t>확인 2026-10-20</t>
        </is>
      </c>
    </row>
    <row r="68">
      <c r="A68" s="21" t="n">
        <v>67</v>
      </c>
      <c r="B68" s="21" t="inlineStr">
        <is>
          <t>배송비</t>
        </is>
      </c>
      <c r="C68" s="21" t="inlineStr">
        <is>
          <t>판매처별 합계</t>
        </is>
      </c>
      <c r="D68" s="21" t="n">
        <v>1</v>
      </c>
      <c r="E68" s="21" t="inlineStr">
        <is>
          <t>쿠팡 기존 47,200 + 11번가 13곳 40,000 + G마켓 4곳 12,000 + 새 쿠팡 2곳·스프링 9,000</t>
        </is>
      </c>
      <c r="F68" s="21" t="inlineStr"/>
      <c r="G68" s="21" t="inlineStr"/>
      <c r="H68" s="21" t="inlineStr">
        <is>
          <t>추정 (견적·옵션 확인 후 확정)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2025-03-10T07:08:01Z</dcterms:created>
  <dcterms:modified xmlns:dcterms="http://purl.org/dc/terms/" xmlns:xsi="http://www.w3.org/2001/XMLSchema-instance" xsi:type="dcterms:W3CDTF">2026-10-22T08:03:00Z</dcterms:modified>
  <cp:lastModifiedBy>User</cp:lastModifiedBy>
</cp:coreProperties>
</file>